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a\OneDrive\Desktop\Desktop Folders\Project\GRC project\Deliverables\NovaTide Enterprise Simulation\Assessment Half Life Project\data\"/>
    </mc:Choice>
  </mc:AlternateContent>
  <xr:revisionPtr revIDLastSave="0" documentId="13_ncr:1_{9FDB1A08-E0A3-4C11-B84B-B70504191133}" xr6:coauthVersionLast="47" xr6:coauthVersionMax="47" xr10:uidLastSave="{00000000-0000-0000-0000-000000000000}"/>
  <bookViews>
    <workbookView xWindow="-108" yWindow="-108" windowWidth="23256" windowHeight="12456" xr2:uid="{93A88D48-D9AB-484C-A252-4FB8B68EE0ED}"/>
  </bookViews>
  <sheets>
    <sheet name="Vendor Inventory" sheetId="1" r:id="rId1"/>
    <sheet name="Scoring Matrix" sheetId="3" r:id="rId2"/>
    <sheet name="Lookup Tables" sheetId="4" r:id="rId3"/>
    <sheet name="Dashboard" sheetId="5" r:id="rId4"/>
  </sheets>
  <definedNames>
    <definedName name="_xlnm._FilterDatabase" localSheetId="0" hidden="1">'Vendor Inventory'!$A$1:$Z$31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5" l="1"/>
  <c r="E41" i="5"/>
  <c r="E42" i="5"/>
  <c r="E33" i="5"/>
  <c r="E36" i="5"/>
  <c r="E46" i="5"/>
  <c r="E43" i="5"/>
  <c r="E44" i="5"/>
  <c r="E34" i="5"/>
  <c r="E31" i="5"/>
  <c r="E28" i="5"/>
  <c r="E23" i="5"/>
  <c r="E37" i="5"/>
  <c r="E32" i="5"/>
  <c r="E25" i="5"/>
  <c r="E29" i="5"/>
  <c r="E38" i="5"/>
  <c r="E26" i="5"/>
  <c r="E30" i="5"/>
  <c r="E21" i="5"/>
  <c r="E27" i="5"/>
  <c r="E39" i="5"/>
  <c r="E40" i="5"/>
  <c r="E35" i="5"/>
  <c r="E22" i="5"/>
  <c r="E20" i="5"/>
  <c r="E19" i="5"/>
  <c r="E48" i="5"/>
  <c r="E47" i="5"/>
  <c r="E45" i="5"/>
  <c r="E9" i="5"/>
  <c r="E10" i="5"/>
  <c r="E11" i="5"/>
  <c r="E12" i="5"/>
  <c r="E3" i="5"/>
  <c r="E4" i="5"/>
  <c r="E5" i="5"/>
  <c r="E6" i="5"/>
  <c r="B5" i="5"/>
  <c r="B6" i="5"/>
  <c r="B7" i="5"/>
  <c r="B8" i="5"/>
  <c r="B9" i="5"/>
  <c r="B10" i="5"/>
  <c r="B11" i="5"/>
  <c r="B12" i="5"/>
  <c r="T2" i="1"/>
  <c r="U2" i="1" s="1" a="1"/>
  <c r="T3" i="1"/>
  <c r="U3" i="1" s="1" a="1"/>
  <c r="T4" i="1"/>
  <c r="U4" i="1" s="1" a="1"/>
  <c r="T5" i="1"/>
  <c r="U5" i="1" s="1" a="1"/>
  <c r="T6" i="1"/>
  <c r="U6" i="1" s="1" a="1"/>
  <c r="T7" i="1"/>
  <c r="U7" i="1" s="1" a="1"/>
  <c r="T8" i="1"/>
  <c r="U8" i="1" s="1" a="1"/>
  <c r="T9" i="1"/>
  <c r="U9" i="1" s="1" a="1"/>
  <c r="T10" i="1"/>
  <c r="U10" i="1" s="1" a="1"/>
  <c r="T11" i="1"/>
  <c r="U11" i="1" s="1" a="1"/>
  <c r="T12" i="1"/>
  <c r="U12" i="1" s="1" a="1"/>
  <c r="T13" i="1"/>
  <c r="U13" i="1" s="1" a="1"/>
  <c r="T14" i="1"/>
  <c r="U14" i="1" s="1" a="1"/>
  <c r="T15" i="1"/>
  <c r="U15" i="1" s="1" a="1"/>
  <c r="T16" i="1"/>
  <c r="U16" i="1" s="1" a="1"/>
  <c r="T17" i="1"/>
  <c r="U17" i="1" s="1" a="1"/>
  <c r="T18" i="1"/>
  <c r="U18" i="1" s="1" a="1"/>
  <c r="T19" i="1"/>
  <c r="U19" i="1" s="1" a="1"/>
  <c r="T20" i="1"/>
  <c r="U20" i="1" s="1" a="1"/>
  <c r="T21" i="1"/>
  <c r="U21" i="1" s="1" a="1"/>
  <c r="T22" i="1"/>
  <c r="U22" i="1" s="1" a="1"/>
  <c r="T23" i="1"/>
  <c r="U23" i="1" s="1" a="1"/>
  <c r="T24" i="1"/>
  <c r="U24" i="1" s="1" a="1"/>
  <c r="T25" i="1"/>
  <c r="U25" i="1" s="1" a="1"/>
  <c r="T26" i="1"/>
  <c r="U26" i="1" s="1" a="1"/>
  <c r="T27" i="1"/>
  <c r="U27" i="1" s="1" a="1"/>
  <c r="T28" i="1"/>
  <c r="U28" i="1" s="1" a="1"/>
  <c r="T29" i="1"/>
  <c r="U29" i="1" s="1" a="1"/>
  <c r="T30" i="1"/>
  <c r="U30" i="1" s="1" a="1"/>
  <c r="T31" i="1"/>
  <c r="U31" i="1" s="1" a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X8" i="1"/>
  <c r="N8" i="1" s="1"/>
  <c r="X9" i="1"/>
  <c r="N9" i="1" s="1"/>
  <c r="X10" i="1"/>
  <c r="N10" i="1" s="1"/>
  <c r="X11" i="1"/>
  <c r="N11" i="1" s="1"/>
  <c r="X12" i="1"/>
  <c r="N12" i="1" s="1"/>
  <c r="X13" i="1"/>
  <c r="N13" i="1" s="1"/>
  <c r="X14" i="1"/>
  <c r="N14" i="1" s="1"/>
  <c r="X15" i="1"/>
  <c r="N15" i="1" s="1"/>
  <c r="X16" i="1"/>
  <c r="N16" i="1" s="1"/>
  <c r="X17" i="1"/>
  <c r="N17" i="1" s="1"/>
  <c r="X18" i="1"/>
  <c r="N18" i="1" s="1"/>
  <c r="X19" i="1"/>
  <c r="N19" i="1" s="1"/>
  <c r="X20" i="1"/>
  <c r="N20" i="1" s="1"/>
  <c r="X21" i="1"/>
  <c r="N21" i="1" s="1"/>
  <c r="X22" i="1"/>
  <c r="N22" i="1" s="1"/>
  <c r="X23" i="1"/>
  <c r="N23" i="1" s="1"/>
  <c r="X24" i="1"/>
  <c r="N24" i="1" s="1"/>
  <c r="X25" i="1"/>
  <c r="N25" i="1" s="1"/>
  <c r="X26" i="1"/>
  <c r="N26" i="1" s="1"/>
  <c r="X27" i="1"/>
  <c r="N27" i="1" s="1"/>
  <c r="X28" i="1"/>
  <c r="N28" i="1" s="1"/>
  <c r="X29" i="1"/>
  <c r="N29" i="1" s="1"/>
  <c r="X30" i="1"/>
  <c r="N30" i="1" s="1"/>
  <c r="X31" i="1"/>
  <c r="N31" i="1" s="1"/>
  <c r="X5" i="1"/>
  <c r="N5" i="1" s="1"/>
  <c r="X6" i="1"/>
  <c r="N6" i="1" s="1"/>
  <c r="X7" i="1"/>
  <c r="N7" i="1" s="1"/>
  <c r="X3" i="1"/>
  <c r="N3" i="1" s="1"/>
  <c r="X4" i="1"/>
  <c r="N4" i="1" s="1"/>
  <c r="X2" i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<sst xmlns="http://schemas.openxmlformats.org/spreadsheetml/2006/main" count="547" uniqueCount="267">
  <si>
    <t>Vendor ID</t>
  </si>
  <si>
    <t>Vendor Name</t>
  </si>
  <si>
    <t>Vendor Category</t>
  </si>
  <si>
    <t>Business Capability</t>
  </si>
  <si>
    <t>Supporting Application</t>
  </si>
  <si>
    <t>Business Owner</t>
  </si>
  <si>
    <t>Technology Owner</t>
  </si>
  <si>
    <t>Executive Sponsor</t>
  </si>
  <si>
    <t>Vendor Tier</t>
  </si>
  <si>
    <t>Data Classification</t>
  </si>
  <si>
    <t>Geographic Region</t>
  </si>
  <si>
    <t>Regulatory Impact</t>
  </si>
  <si>
    <t>Assessment Date</t>
  </si>
  <si>
    <t>Assessment Expiry</t>
  </si>
  <si>
    <t>Governance Score</t>
  </si>
  <si>
    <t>Security Score</t>
  </si>
  <si>
    <t>Business Dependency Score</t>
  </si>
  <si>
    <t>Continuous Monitoring Score</t>
  </si>
  <si>
    <t>Concentration &amp; Resilience Score</t>
  </si>
  <si>
    <t>Composite Score</t>
  </si>
  <si>
    <t>Risk Tier</t>
  </si>
  <si>
    <t>Continuous Monitoring</t>
  </si>
  <si>
    <t>Contract Renewal</t>
  </si>
  <si>
    <t>Assessment Half-Life (Days)</t>
  </si>
  <si>
    <t>Current Status</t>
  </si>
  <si>
    <t>Notes</t>
  </si>
  <si>
    <t>V001</t>
  </si>
  <si>
    <t>Microsoft</t>
  </si>
  <si>
    <t>Cloud &amp; Productivity</t>
  </si>
  <si>
    <t>Enterprise IT</t>
  </si>
  <si>
    <t>Microsoft 365 / Entra ID / Sentinel</t>
  </si>
  <si>
    <t>Critical</t>
  </si>
  <si>
    <t>V002</t>
  </si>
  <si>
    <t>SAP</t>
  </si>
  <si>
    <t>ERP</t>
  </si>
  <si>
    <t>Finance &amp; Procurement</t>
  </si>
  <si>
    <t>SAP S/4HANA</t>
  </si>
  <si>
    <t>V003</t>
  </si>
  <si>
    <t>Snowflake</t>
  </si>
  <si>
    <t>Data Platform</t>
  </si>
  <si>
    <t>Enterprise Analytics</t>
  </si>
  <si>
    <t>InsightOps</t>
  </si>
  <si>
    <t>V004</t>
  </si>
  <si>
    <t>NaviEdge Solutions</t>
  </si>
  <si>
    <t>AI Edge Computing</t>
  </si>
  <si>
    <t>Port Operations</t>
  </si>
  <si>
    <t>PortFlow</t>
  </si>
  <si>
    <t>V005</t>
  </si>
  <si>
    <t>Salesforce</t>
  </si>
  <si>
    <t>CRM</t>
  </si>
  <si>
    <t>Customer Experience</t>
  </si>
  <si>
    <t>NovaPortal</t>
  </si>
  <si>
    <t>High</t>
  </si>
  <si>
    <t>V006</t>
  </si>
  <si>
    <t>ServiceNow</t>
  </si>
  <si>
    <t>IT Service Management</t>
  </si>
  <si>
    <t>IT Operations</t>
  </si>
  <si>
    <t>V007</t>
  </si>
  <si>
    <t>GitHub</t>
  </si>
  <si>
    <t>Software Development</t>
  </si>
  <si>
    <t>Application Development</t>
  </si>
  <si>
    <t>GitHub Enterprise</t>
  </si>
  <si>
    <t>V008</t>
  </si>
  <si>
    <t>Cloudflare</t>
  </si>
  <si>
    <t>Network Security</t>
  </si>
  <si>
    <t>Internet Services</t>
  </si>
  <si>
    <t>External Services</t>
  </si>
  <si>
    <t>V009</t>
  </si>
  <si>
    <t>CrowdStrike</t>
  </si>
  <si>
    <t>Endpoint Security</t>
  </si>
  <si>
    <t>Cybersecurity</t>
  </si>
  <si>
    <t>EDR Platform</t>
  </si>
  <si>
    <t>V010</t>
  </si>
  <si>
    <t>Palo Alto Networks</t>
  </si>
  <si>
    <t>Firewalls</t>
  </si>
  <si>
    <t>V011</t>
  </si>
  <si>
    <t>Maersk</t>
  </si>
  <si>
    <t>Maritime Logistics</t>
  </si>
  <si>
    <t>Ocean Freight</t>
  </si>
  <si>
    <t>V012</t>
  </si>
  <si>
    <t>DHL Supply Chain</t>
  </si>
  <si>
    <t>Logistics</t>
  </si>
  <si>
    <t>Distribution</t>
  </si>
  <si>
    <t>NovaTrack</t>
  </si>
  <si>
    <t>V013</t>
  </si>
  <si>
    <t>FedEx Logistics</t>
  </si>
  <si>
    <t>Transportation</t>
  </si>
  <si>
    <t>Express Logistics</t>
  </si>
  <si>
    <t>V014</t>
  </si>
  <si>
    <t>Kuehne+Nagel</t>
  </si>
  <si>
    <t>Freight Forwarding</t>
  </si>
  <si>
    <t>Global Freight</t>
  </si>
  <si>
    <t>V015</t>
  </si>
  <si>
    <t>C.H. Robinson</t>
  </si>
  <si>
    <t>Logistics Services</t>
  </si>
  <si>
    <t>Carrier Management</t>
  </si>
  <si>
    <t>Medium</t>
  </si>
  <si>
    <t>V016</t>
  </si>
  <si>
    <t>Azure OpenAI Service</t>
  </si>
  <si>
    <t>AI Platform</t>
  </si>
  <si>
    <t>AI Enablement</t>
  </si>
  <si>
    <t>InsightOps AI</t>
  </si>
  <si>
    <t>V017</t>
  </si>
  <si>
    <t>Databricks</t>
  </si>
  <si>
    <t>Data Engineering</t>
  </si>
  <si>
    <t>Analytics</t>
  </si>
  <si>
    <t>V018</t>
  </si>
  <si>
    <t>Elastic</t>
  </si>
  <si>
    <t>Search &amp; Analytics</t>
  </si>
  <si>
    <t>Security Analytics</t>
  </si>
  <si>
    <t>SOC Platform</t>
  </si>
  <si>
    <t>V019</t>
  </si>
  <si>
    <t>MongoDB Atlas</t>
  </si>
  <si>
    <t>Database Platform</t>
  </si>
  <si>
    <t>Application Services</t>
  </si>
  <si>
    <t>V020</t>
  </si>
  <si>
    <t>Cisco</t>
  </si>
  <si>
    <t>Networking</t>
  </si>
  <si>
    <t>Enterprise Network</t>
  </si>
  <si>
    <t>Infrastructure</t>
  </si>
  <si>
    <t>V021</t>
  </si>
  <si>
    <t>Verizon Business</t>
  </si>
  <si>
    <t>Telecommunications</t>
  </si>
  <si>
    <t>Global Connectivity</t>
  </si>
  <si>
    <t>WAN Services</t>
  </si>
  <si>
    <t>V022</t>
  </si>
  <si>
    <t>DocuSign</t>
  </si>
  <si>
    <t>Digital Agreements</t>
  </si>
  <si>
    <t>Procurement</t>
  </si>
  <si>
    <t>Contract Management</t>
  </si>
  <si>
    <t>V023</t>
  </si>
  <si>
    <t>Adobe</t>
  </si>
  <si>
    <t>Digital Content</t>
  </si>
  <si>
    <t>Marketing</t>
  </si>
  <si>
    <t>Creative Services</t>
  </si>
  <si>
    <t>Low</t>
  </si>
  <si>
    <t>V024</t>
  </si>
  <si>
    <t>Atlassian</t>
  </si>
  <si>
    <t>Project Management</t>
  </si>
  <si>
    <t>Engineering</t>
  </si>
  <si>
    <t>Jira &amp; Confluence</t>
  </si>
  <si>
    <t>V025</t>
  </si>
  <si>
    <t>Workday</t>
  </si>
  <si>
    <t>Human Resources</t>
  </si>
  <si>
    <t>HR Operations</t>
  </si>
  <si>
    <t>V026</t>
  </si>
  <si>
    <t>Proofpoint</t>
  </si>
  <si>
    <t>Email Security</t>
  </si>
  <si>
    <t>Email Protection</t>
  </si>
  <si>
    <t>V027</t>
  </si>
  <si>
    <t>Fortinet</t>
  </si>
  <si>
    <t>Branch Security</t>
  </si>
  <si>
    <t>V028</t>
  </si>
  <si>
    <t>Zoom</t>
  </si>
  <si>
    <t>Collaboration</t>
  </si>
  <si>
    <t>Enterprise Communications</t>
  </si>
  <si>
    <t>Meetings</t>
  </si>
  <si>
    <t>V029</t>
  </si>
  <si>
    <t>Miro</t>
  </si>
  <si>
    <t>Innovation</t>
  </si>
  <si>
    <t>Whiteboarding</t>
  </si>
  <si>
    <t>V030</t>
  </si>
  <si>
    <t>Canva Enterprise</t>
  </si>
  <si>
    <t>Productivity</t>
  </si>
  <si>
    <t>Corporate Communications</t>
  </si>
  <si>
    <t>Design Platform</t>
  </si>
  <si>
    <t>Vendor</t>
  </si>
  <si>
    <t>Director, Enterprise IT Services</t>
  </si>
  <si>
    <t>VP, Finance &amp; Procurement</t>
  </si>
  <si>
    <t>Director, Enterprise Analytics</t>
  </si>
  <si>
    <t>VP, Port Operations</t>
  </si>
  <si>
    <t>Director, Customer Experience</t>
  </si>
  <si>
    <t>Director, Software Engineering</t>
  </si>
  <si>
    <t>Director, Infrastructure Services</t>
  </si>
  <si>
    <t>Director, Cybersecurity Operations</t>
  </si>
  <si>
    <t>VP, Global Logistics Operations</t>
  </si>
  <si>
    <t>VP, Distribution Operations</t>
  </si>
  <si>
    <t>Director, Carrier Management</t>
  </si>
  <si>
    <t>Director, AI &amp; Data Innovation</t>
  </si>
  <si>
    <t>Director, Application Engineering</t>
  </si>
  <si>
    <t>Director, Procurement</t>
  </si>
  <si>
    <t>Director, Marketing</t>
  </si>
  <si>
    <t>VP, Human Resources</t>
  </si>
  <si>
    <t>Director, Digital Innovation</t>
  </si>
  <si>
    <t>Director, Corporate Communications</t>
  </si>
  <si>
    <t>Enterprise Infrastructure Manager</t>
  </si>
  <si>
    <t>ERP Platform Manager</t>
  </si>
  <si>
    <t>Data Platform Manager</t>
  </si>
  <si>
    <t>Logistics Systems Manager</t>
  </si>
  <si>
    <t>Enterprise Applications Manager</t>
  </si>
  <si>
    <t>DevSecOps Platform Manager</t>
  </si>
  <si>
    <t>Network Services Manager</t>
  </si>
  <si>
    <t>Security Engineering Manager</t>
  </si>
  <si>
    <t>AI Platform Manager</t>
  </si>
  <si>
    <t>Database Platform Manager</t>
  </si>
  <si>
    <t>CIO</t>
  </si>
  <si>
    <t>CFO</t>
  </si>
  <si>
    <t>Chief Data &amp; AI Officer</t>
  </si>
  <si>
    <t>COO</t>
  </si>
  <si>
    <t>Chief Customer Officer</t>
  </si>
  <si>
    <t>CISO</t>
  </si>
  <si>
    <t>Chief Marketing Officer</t>
  </si>
  <si>
    <t>CHRO</t>
  </si>
  <si>
    <t>Restricted</t>
  </si>
  <si>
    <t>Confidential</t>
  </si>
  <si>
    <t>Internal</t>
  </si>
  <si>
    <t>Public</t>
  </si>
  <si>
    <t>Global</t>
  </si>
  <si>
    <t>Americas</t>
  </si>
  <si>
    <t>GDPR; ISO 27001</t>
  </si>
  <si>
    <t>GDPR; SOX</t>
  </si>
  <si>
    <t>GDPR</t>
  </si>
  <si>
    <t>GDPR; EU AI Act</t>
  </si>
  <si>
    <t>None</t>
  </si>
  <si>
    <t>ISO 27001</t>
  </si>
  <si>
    <t>Moderate</t>
  </si>
  <si>
    <t>Elevated</t>
  </si>
  <si>
    <t>Monitoring Frequency</t>
  </si>
  <si>
    <t>Continuous</t>
  </si>
  <si>
    <t>Quarterly</t>
  </si>
  <si>
    <t>Semi-Annual</t>
  </si>
  <si>
    <t>Annual</t>
  </si>
  <si>
    <t>Half-Life (Days)</t>
  </si>
  <si>
    <t>Domain</t>
  </si>
  <si>
    <t>Weight</t>
  </si>
  <si>
    <t>Governance &amp; Compliance</t>
  </si>
  <si>
    <t>Security Posture</t>
  </si>
  <si>
    <t>Business Dependency</t>
  </si>
  <si>
    <t>Concentration &amp; Resilience</t>
  </si>
  <si>
    <t>Score</t>
  </si>
  <si>
    <t>Interpretation</t>
  </si>
  <si>
    <t>95–100</t>
  </si>
  <si>
    <t>Industry-leading maturity</t>
  </si>
  <si>
    <t>90–94</t>
  </si>
  <si>
    <t>Strong, well-controlled</t>
  </si>
  <si>
    <t>80–89</t>
  </si>
  <si>
    <t>Mature with minor improvement areas</t>
  </si>
  <si>
    <t>70–79</t>
  </si>
  <si>
    <t>Acceptable but requires monitoring</t>
  </si>
  <si>
    <t>60–69</t>
  </si>
  <si>
    <t>Weak controls</t>
  </si>
  <si>
    <t>Below 60</t>
  </si>
  <si>
    <t>Significant risk requiring remediation</t>
  </si>
  <si>
    <t>Approved</t>
  </si>
  <si>
    <t>Strategic enterprise cloud and productivity provider. Continuous monitoring enabled.</t>
  </si>
  <si>
    <t>Enterprise ERP platform supporting finance and procurement.</t>
  </si>
  <si>
    <t>Strategic analytics platform hosting enterprise reporting workloads.</t>
  </si>
  <si>
    <t>AI-enabled edge computing platform supporting smart port operations.</t>
  </si>
  <si>
    <t>Strategic maritime logistics partner with global operational dependency.</t>
  </si>
  <si>
    <t>Critical service provider. Continuous monitoring enabled.</t>
  </si>
  <si>
    <t>Standard third-party assessment completed. Scheduled for periodic reassessment.</t>
  </si>
  <si>
    <t>Low business impact vendor. Annual assessment sufficient.</t>
  </si>
  <si>
    <t>Metric</t>
  </si>
  <si>
    <t>Formula</t>
  </si>
  <si>
    <t>Total Vendors</t>
  </si>
  <si>
    <t>Critical Vendors</t>
  </si>
  <si>
    <t>High Vendors</t>
  </si>
  <si>
    <t>Medium Vendors</t>
  </si>
  <si>
    <t>Low Vendors</t>
  </si>
  <si>
    <t>Average Composite Score</t>
  </si>
  <si>
    <t>Vendors Under Continuous Monitoring</t>
  </si>
  <si>
    <t>Average Assessment Half-Life</t>
  </si>
  <si>
    <t>Tier</t>
  </si>
  <si>
    <t>Count</t>
  </si>
  <si>
    <t>Category</t>
  </si>
  <si>
    <t>Others</t>
  </si>
  <si>
    <t>NovaTide Logistics
TPRM Vendor Risk Dashboard
Version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</si>
</sst>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169" fontId="1" fillId="0" borderId="0" xfId="0" applyNumberFormat="1" applyFont="1" applyAlignment="1">
      <alignment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 applyAlignment="1">
      <alignment wrapText="1"/>
    </xf>
    <xf numFmtId="0" fontId="0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right" vertical="center" textRotation="0" wrapText="1" indent="0" justifyLastLine="0" shrinkToFit="0" readingOrder="0"/>
    </dxf>
    <dxf>
      <font>
        <b val="0"/>
      </font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numFmt numFmtId="19" formatCode="m/d/yyyy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Tier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Dashboard!$E$2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Dashboard!$D$3:$D$6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Dashboard!$E$3:$E$6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7-4FD6-BD90-2FEA902F0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5814800"/>
        <c:axId val="545819120"/>
      </c:barChart>
      <c:catAx>
        <c:axId val="54581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819120"/>
        <c:crosses val="autoZero"/>
        <c:auto val="1"/>
        <c:lblAlgn val="ctr"/>
        <c:lblOffset val="100"/>
        <c:noMultiLvlLbl val="0"/>
      </c:catAx>
      <c:valAx>
        <c:axId val="54581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8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Category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Dashboard!$D$9:$D$15</c:f>
              <c:strCache>
                <c:ptCount val="7"/>
                <c:pt idx="0">
                  <c:v>Cloud &amp; Productivity</c:v>
                </c:pt>
                <c:pt idx="1">
                  <c:v>ERP</c:v>
                </c:pt>
                <c:pt idx="2">
                  <c:v>Data Platform</c:v>
                </c:pt>
                <c:pt idx="3">
                  <c:v>AI Platform</c:v>
                </c:pt>
                <c:pt idx="4">
                  <c:v>Cybersecurity</c:v>
                </c:pt>
                <c:pt idx="5">
                  <c:v>Logistics</c:v>
                </c:pt>
                <c:pt idx="6">
                  <c:v>Others</c:v>
                </c:pt>
              </c:strCache>
            </c:strRef>
          </c:cat>
          <c:val>
            <c:numRef>
              <c:f>Dashboard!$E$9:$E$15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7-4D34-987D-F61125BB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Composite Score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Dashboard!$E$18</c:f>
              <c:strCache>
                <c:ptCount val="1"/>
                <c:pt idx="0">
                  <c:v>Composite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Dashboard!$D$19:$D$48</c:f>
              <c:strCache>
                <c:ptCount val="13"/>
                <c:pt idx="0">
                  <c:v>Cloudflare</c:v>
                </c:pt>
                <c:pt idx="1">
                  <c:v>Azure OpenAI Service</c:v>
                </c:pt>
                <c:pt idx="2">
                  <c:v>Cisco</c:v>
                </c:pt>
                <c:pt idx="3">
                  <c:v>Workday</c:v>
                </c:pt>
                <c:pt idx="4">
                  <c:v>Proofpoint</c:v>
                </c:pt>
                <c:pt idx="5">
                  <c:v>Salesforce</c:v>
                </c:pt>
                <c:pt idx="6">
                  <c:v>ServiceNow</c:v>
                </c:pt>
                <c:pt idx="7">
                  <c:v>Palo Alto Networks</c:v>
                </c:pt>
                <c:pt idx="8">
                  <c:v>Maersk</c:v>
                </c:pt>
                <c:pt idx="9">
                  <c:v>Snowflake</c:v>
                </c:pt>
                <c:pt idx="10">
                  <c:v>CrowdStrike</c:v>
                </c:pt>
                <c:pt idx="11">
                  <c:v>SAP</c:v>
                </c:pt>
                <c:pt idx="12">
                  <c:v>Microsoft</c:v>
                </c:pt>
              </c:strCache>
            </c:strRef>
          </c:cat>
          <c:val>
            <c:numRef>
              <c:f>Dashboard!$E$19:$E$48</c:f>
              <c:numCache>
                <c:formatCode>General</c:formatCode>
                <c:ptCount val="13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89</c:v>
                </c:pt>
                <c:pt idx="10">
                  <c:v>89</c:v>
                </c:pt>
                <c:pt idx="11">
                  <c:v>91</c:v>
                </c:pt>
                <c:pt idx="1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D-4065-898F-CFBFBECF5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2408624"/>
        <c:axId val="1002425424"/>
      </c:barChart>
      <c:catAx>
        <c:axId val="1002408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25424"/>
        <c:crosses val="autoZero"/>
        <c:auto val="1"/>
        <c:lblAlgn val="ctr"/>
        <c:lblOffset val="100"/>
        <c:noMultiLvlLbl val="0"/>
      </c:catAx>
      <c:valAx>
        <c:axId val="100242542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0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16548</xdr:colOff>
      <xdr:row>0</xdr:row>
      <xdr:rowOff>246740</xdr:rowOff>
    </xdr:from>
    <xdr:to>
      <xdr:col>14</xdr:col>
      <xdr:colOff>268008</xdr:colOff>
      <xdr:row>10</xdr:row>
      <xdr:rowOff>292460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4AB29-B6A0-9BC9-B921-2FD7F8D0D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611818</xdr:colOff>
      <xdr:row>11</xdr:row>
      <xdr:rowOff>125956</xdr:rowOff>
    </xdr:from>
    <xdr:to>
      <xdr:col>14</xdr:col>
      <xdr:colOff>295702</xdr:colOff>
      <xdr:row>44</xdr:row>
      <xdr:rowOff>102358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4FE2EB-630D-966A-B91B-3E42FF22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5516</xdr:colOff>
      <xdr:row>0</xdr:row>
      <xdr:rowOff>250721</xdr:rowOff>
    </xdr:from>
    <xdr:to>
      <xdr:col>27</xdr:col>
      <xdr:colOff>333688</xdr:colOff>
      <xdr:row>24</xdr:row>
      <xdr:rowOff>159224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B1F288-B1EB-8F6D-25C4-7C7018182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F313A-9345-4A3A-9DDE-EFE2B903FA7D}" name="tblVendorInventory" displayName="tblVendorInventory" ref="A1:Z31" totalsRowShown="0" headerRowDxfId="40" dataDxfId="41">
  <autoFilter ref="A1:Z31" xr:uid="{BB6EA950-ECA3-4BD4-906D-820C59686DCC}"/>
  <tableColumns count="26">
    <tableColumn id="1" xr3:uid="{5C171991-9046-4EA5-A1C9-10625A19B0D7}" name="Vendor ID" dataDxfId="53"/>
    <tableColumn id="2" xr3:uid="{4D32B09C-BD84-4FBD-BEEA-7E400578F6F7}" name="Vendor Name" dataDxfId="52"/>
    <tableColumn id="3" xr3:uid="{075BCBB7-BA76-45AA-ADA4-9F3020EFB750}" name="Vendor Category" dataDxfId="51"/>
    <tableColumn id="4" xr3:uid="{B0E00831-D763-4C23-A07F-A158C1D88A69}" name="Business Capability" dataDxfId="50"/>
    <tableColumn id="5" xr3:uid="{4E9821EE-A829-4508-9924-EB2FF9240C53}" name="Supporting Application" dataDxfId="49"/>
    <tableColumn id="6" xr3:uid="{F7369A5B-19AB-478F-84E9-1674B7ED0751}" name="Business Owner" dataDxfId="48"/>
    <tableColumn id="7" xr3:uid="{1C372E86-A511-427D-8627-04FC52CD9303}" name="Technology Owner" dataDxfId="47"/>
    <tableColumn id="8" xr3:uid="{84DFA6D5-BD13-41A9-BFEA-68B4E25ABCBC}" name="Executive Sponsor" dataDxfId="46"/>
    <tableColumn id="9" xr3:uid="{DA1DC953-F8ED-47D6-A1DF-BDBD6D46D0F5}" name="Vendor Tier" dataDxfId="45"/>
    <tableColumn id="10" xr3:uid="{BC5C0227-10DB-4C6C-B6F1-82FF97EF2172}" name="Data Classification" dataDxfId="44"/>
    <tableColumn id="11" xr3:uid="{AA6685BE-74F4-4EDA-A057-8E1C92181F6B}" name="Geographic Region" dataDxfId="43"/>
    <tableColumn id="12" xr3:uid="{4CADA4FA-4127-4DA0-9BCC-52AC4768D76A}" name="Regulatory Impact" dataDxfId="15"/>
    <tableColumn id="13" xr3:uid="{6AFD944E-975E-4A05-8845-1DD004F7E21E}" name="Assessment Date" dataDxfId="14"/>
    <tableColumn id="14" xr3:uid="{14F7B1A3-CBE7-48AE-873A-FE096F5A8456}" name="Assessment Expiry" dataDxfId="12">
      <calculatedColumnFormula>M2+X2</calculatedColumnFormula>
    </tableColumn>
    <tableColumn id="15" xr3:uid="{0F323DAB-0657-49E7-B823-E64ADAE5A2C2}" name="Governance Score" dataDxfId="13"/>
    <tableColumn id="16" xr3:uid="{B1A5A63A-3376-442B-B72C-88F74B6B0AB9}" name="Security Score" dataDxfId="25"/>
    <tableColumn id="17" xr3:uid="{644F7381-3C49-4C3A-BF6F-0825019913EC}" name="Business Dependency Score" dataDxfId="24"/>
    <tableColumn id="18" xr3:uid="{E8BCA54A-3147-4058-9B7F-F20164E36DE5}" name="Continuous Monitoring Score" dataDxfId="23"/>
    <tableColumn id="19" xr3:uid="{ADE50C4D-D387-415A-9CDF-AA56A7D18466}" name="Concentration &amp; Resilience Score" dataDxfId="22"/>
    <tableColumn id="20" xr3:uid="{E932A051-E9B3-4FB3-BE64-5C38C7AD9FB9}" name="Composite Score" dataDxfId="21">
      <calculatedColumnFormula>ROUND((O2*25%)+(P2*25%)+(Q2*20%)+(R2*20%)+(S2*10%),0)</calculatedColumnFormula>
    </tableColumn>
    <tableColumn id="21" xr3:uid="{7DE96536-2D18-425A-8649-AA3516838116}" name="Risk Tier" dataDxfId="19">
      <calculatedColumnFormula array="1">_xlfn.IFS(T2&gt;=90,"Low",T2&gt;=75,"Moderate",T2&gt;=60,"Elevated",TRUE,"High")</calculatedColumnFormula>
    </tableColumn>
    <tableColumn id="22" xr3:uid="{1EDA80B2-ABAD-41E7-9181-1B621E6CD9F1}" name="Continuous Monitoring" dataDxfId="18">
      <calculatedColumnFormula>IF(OR(I2="Critical",I2="High"),"Yes","No")</calculatedColumnFormula>
    </tableColumn>
    <tableColumn id="23" xr3:uid="{66F479E0-D756-424C-82AB-949DF1A30FE4}" name="Contract Renewal" dataDxfId="16"/>
    <tableColumn id="24" xr3:uid="{7876C901-7D30-4A57-9609-069167668C65}" name="Assessment Half-Life (Days)" dataDxfId="17">
      <calculatedColumnFormula>_xlfn.XLOOKUP(I2,'Lookup Tables'!$H$4:$H$7,'Lookup Tables'!$I$4:$I$7)</calculatedColumnFormula>
    </tableColumn>
    <tableColumn id="25" xr3:uid="{E41ED3AE-97E3-46FE-9EEB-241D8FC24D0E}" name="Current Status" dataDxfId="20"/>
    <tableColumn id="26" xr3:uid="{E3D223E0-CC52-4125-88A8-C678C4B483D1}" name="Notes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4B94EA-914E-44BC-A55C-630966448BD6}" name="ScoreWeight" displayName="ScoreWeight" ref="B3:C8" totalsRowShown="0" headerRowDxfId="29">
  <autoFilter ref="B3:C8" xr:uid="{7B4B94EA-914E-44BC-A55C-630966448BD6}"/>
  <tableColumns count="2">
    <tableColumn id="1" xr3:uid="{DE9100E7-8182-416E-B1E1-049A6999545D}" name="Domain" dataDxfId="31"/>
    <tableColumn id="2" xr3:uid="{9F9386DC-F79A-4221-B27E-97DABE12B238}" name="Weigh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D80198-1053-438B-827C-D3597AE550D5}" name="ScoreGuide" displayName="ScoreGuide" ref="E3:F9" totalsRowShown="0" headerRowDxfId="26">
  <autoFilter ref="E3:F9" xr:uid="{64D80198-1053-438B-827C-D3597AE550D5}"/>
  <tableColumns count="2">
    <tableColumn id="1" xr3:uid="{32ABD216-DBFE-4405-A693-A776DD1440DC}" name="Score" dataDxfId="28"/>
    <tableColumn id="2" xr3:uid="{EB04AFCF-9511-4492-8B18-778EAC4A9333}" name="Interpretation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314CB-9079-4727-BF01-50633E1846D5}" name="RiskTier" displayName="RiskTier" ref="B3:C7" totalsRowShown="0">
  <autoFilter ref="B3:C7" xr:uid="{981314CB-9079-4727-BF01-50633E1846D5}"/>
  <tableColumns count="2">
    <tableColumn id="1" xr3:uid="{031CB8F1-4C0E-4499-B5A2-EBA5CD34F0DD}" name="Composite Score" dataDxfId="39"/>
    <tableColumn id="2" xr3:uid="{93F66A4F-AEC7-4DBC-A4AB-4023877A75D4}" name="Risk Tier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7A0C6E-6E8D-467F-8D00-6D260E28E4D6}" name="VendorTier" displayName="VendorTier" ref="E3:F7" totalsRowShown="0" headerRowDxfId="34" dataDxfId="35">
  <autoFilter ref="E3:F7" xr:uid="{B87A0C6E-6E8D-467F-8D00-6D260E28E4D6}"/>
  <tableColumns count="2">
    <tableColumn id="1" xr3:uid="{7B079546-EFE5-4648-86DD-9061F4183E41}" name="Vendor Tier" dataDxfId="37"/>
    <tableColumn id="2" xr3:uid="{1D965866-A909-4542-88DA-8755E33D2AD1}" name="Monitoring Frequency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C1B6F1-4188-498D-BDBA-E8AF329EC944}" name="HalfLife" displayName="HalfLife" ref="H3:I7" totalsRowShown="0">
  <autoFilter ref="H3:I7" xr:uid="{06C1B6F1-4188-498D-BDBA-E8AF329EC944}"/>
  <tableColumns count="2">
    <tableColumn id="1" xr3:uid="{43670BCA-3EAF-47A8-ACAC-494DD880984E}" name="Vendor Tier" dataDxfId="33"/>
    <tableColumn id="2" xr3:uid="{811555C9-32A2-40D8-B1C8-774EB5A2A9C3}" name="Half-Life (Days)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05402A-B706-40A6-99ED-363BE84CCB0B}" name="Table7" displayName="Table7" ref="D18:E48" totalsRowShown="0">
  <autoFilter ref="D18:E48" xr:uid="{3F05402A-B706-40A6-99ED-363BE84CCB0B}">
    <filterColumn colId="1">
      <top10 val="10" filterVal="87"/>
    </filterColumn>
  </autoFilter>
  <sortState xmlns:xlrd2="http://schemas.microsoft.com/office/spreadsheetml/2017/richdata2" ref="D19:E48">
    <sortCondition ref="E18:E48"/>
  </sortState>
  <tableColumns count="2">
    <tableColumn id="1" xr3:uid="{4CD04B3A-DF03-4012-A26E-C764360AF1D3}" name="Vendor"/>
    <tableColumn id="2" xr3:uid="{EECADF0D-6041-4F3A-A9E1-45E30F6B8685}" name="Composite Score" dataDxfId="11">
      <calculatedColumnFormula>'Vendor Inventory'!T2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A3AE91-FCD9-472E-B13E-ADDE495B5F5D}" name="Table8" displayName="Table8" ref="A4:B12" totalsRowShown="0" headerRowDxfId="6">
  <autoFilter ref="A4:B12" xr:uid="{ECA3AE91-FCD9-472E-B13E-ADDE495B5F5D}"/>
  <tableColumns count="2">
    <tableColumn id="1" xr3:uid="{6E00865F-7660-471D-9DA8-EE6EF027AD9F}" name="Metric" dataDxfId="1"/>
    <tableColumn id="2" xr3:uid="{30CB66F9-8C2F-49B9-B2E4-3DF625B9D62F}" name="Formula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78E3A2-DE79-4D42-B2B6-E25B546F25D3}" name="Table9" displayName="Table9" ref="D8:E15" totalsRowShown="0">
  <autoFilter ref="D8:E15" xr:uid="{F178E3A2-DE79-4D42-B2B6-E25B546F25D3}"/>
  <tableColumns count="2">
    <tableColumn id="1" xr3:uid="{165D593A-95CD-472B-888A-F69ABD2CA0F3}" name="Category" dataDxfId="5"/>
    <tableColumn id="2" xr3:uid="{CF106536-5C0E-4E0D-8DF5-C15A9595F475}" name="Count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A95D33-2658-4795-AEBE-14DD738D14A1}" name="Table10" displayName="Table10" ref="D2:E6" totalsRowShown="0">
  <autoFilter ref="D2:E6" xr:uid="{EDA95D33-2658-4795-AEBE-14DD738D14A1}"/>
  <tableColumns count="2">
    <tableColumn id="1" xr3:uid="{253EFDCB-D36D-4C98-A314-0887B31FC24B}" name="Tier" dataDxfId="3"/>
    <tableColumn id="2" xr3:uid="{4E9300EE-0F3F-46AF-AC8A-CCA0CB9844A1}" name="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950-ECA3-4BD4-906D-820C59686DCC}">
  <dimension ref="A1:Z32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1.6640625" style="1" bestFit="1" customWidth="1"/>
    <col min="2" max="2" width="14.88671875" style="1" bestFit="1" customWidth="1"/>
    <col min="3" max="3" width="17.109375" style="1" customWidth="1"/>
    <col min="4" max="4" width="18.77734375" style="1" customWidth="1"/>
    <col min="5" max="5" width="22.21875" style="1" customWidth="1"/>
    <col min="6" max="6" width="16" style="1" customWidth="1"/>
    <col min="7" max="7" width="18.6640625" style="1" customWidth="1"/>
    <col min="8" max="8" width="18.21875" style="1" customWidth="1"/>
    <col min="9" max="9" width="13" style="1" bestFit="1" customWidth="1"/>
    <col min="10" max="10" width="18.109375" style="1" customWidth="1"/>
    <col min="11" max="11" width="18.6640625" style="1" customWidth="1"/>
    <col min="12" max="12" width="18.33203125" style="1" customWidth="1"/>
    <col min="13" max="13" width="17" style="1" customWidth="1"/>
    <col min="14" max="14" width="18.21875" style="12" customWidth="1"/>
    <col min="15" max="15" width="18.109375" style="1" customWidth="1"/>
    <col min="16" max="16" width="15.109375" style="1" bestFit="1" customWidth="1"/>
    <col min="17" max="17" width="26.109375" style="1" customWidth="1"/>
    <col min="18" max="18" width="27.5546875" style="1" customWidth="1"/>
    <col min="19" max="19" width="30.5546875" style="1" customWidth="1"/>
    <col min="20" max="20" width="17" style="1" customWidth="1"/>
    <col min="21" max="21" width="10.109375" style="1" bestFit="1" customWidth="1"/>
    <col min="22" max="22" width="22.44140625" style="1" customWidth="1"/>
    <col min="23" max="23" width="17.6640625" style="1" customWidth="1"/>
    <col min="24" max="24" width="25.88671875" style="1" customWidth="1"/>
    <col min="25" max="25" width="15.33203125" style="1" bestFit="1" customWidth="1"/>
    <col min="26" max="26" width="22" style="1" customWidth="1"/>
    <col min="27" max="16384" width="8.88671875" style="1"/>
  </cols>
  <sheetData>
    <row r="1" spans="1:2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0" t="s">
        <v>12</v>
      </c>
      <c r="N1" s="10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57.6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167</v>
      </c>
      <c r="G2" s="5" t="s">
        <v>185</v>
      </c>
      <c r="H2" s="5" t="s">
        <v>195</v>
      </c>
      <c r="I2" s="5" t="s">
        <v>31</v>
      </c>
      <c r="J2" s="5" t="s">
        <v>203</v>
      </c>
      <c r="K2" s="5" t="s">
        <v>207</v>
      </c>
      <c r="L2" s="5" t="s">
        <v>209</v>
      </c>
      <c r="M2" s="15">
        <v>46204</v>
      </c>
      <c r="N2" s="15">
        <f t="shared" ref="N2:N31" si="0">M2+X2</f>
        <v>46294</v>
      </c>
      <c r="O2" s="13">
        <v>95</v>
      </c>
      <c r="P2" s="3">
        <v>96</v>
      </c>
      <c r="Q2" s="3">
        <v>98</v>
      </c>
      <c r="R2" s="3">
        <v>95</v>
      </c>
      <c r="S2" s="3">
        <v>65</v>
      </c>
      <c r="T2" s="3">
        <f t="shared" ref="T2:T31" si="1">ROUND((O2*25%)+(P2*25%)+(Q2*20%)+(R2*20%)+(S2*10%),0)</f>
        <v>93</v>
      </c>
      <c r="U2" s="3" t="str" cm="1">
        <f t="array" ref="U2">_xlfn.IFS(T2&gt;=90,"Low",T2&gt;=75,"Moderate",T2&gt;=60,"Elevated",TRUE,"High")</f>
        <v>Low</v>
      </c>
      <c r="V2" s="3" t="str">
        <f t="shared" ref="V2:V31" si="2">IF(OR(I2="Critical",I2="High"),"Yes","No")</f>
        <v>Yes</v>
      </c>
      <c r="W2" s="16">
        <v>46752</v>
      </c>
      <c r="X2" s="3">
        <f>_xlfn.XLOOKUP(I2,'Lookup Tables'!$H$4:$H$7,'Lookup Tables'!$I$4:$I$7)</f>
        <v>90</v>
      </c>
      <c r="Y2" s="3" t="s">
        <v>243</v>
      </c>
      <c r="Z2" s="1" t="s">
        <v>244</v>
      </c>
    </row>
    <row r="3" spans="1:26" ht="43.2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168</v>
      </c>
      <c r="G3" s="5" t="s">
        <v>186</v>
      </c>
      <c r="H3" s="5" t="s">
        <v>196</v>
      </c>
      <c r="I3" s="5" t="s">
        <v>31</v>
      </c>
      <c r="J3" s="5" t="s">
        <v>203</v>
      </c>
      <c r="K3" s="5" t="s">
        <v>207</v>
      </c>
      <c r="L3" s="5" t="s">
        <v>210</v>
      </c>
      <c r="M3" s="15">
        <v>46204</v>
      </c>
      <c r="N3" s="15">
        <f t="shared" si="0"/>
        <v>46294</v>
      </c>
      <c r="O3" s="3">
        <v>94</v>
      </c>
      <c r="P3" s="3">
        <v>92</v>
      </c>
      <c r="Q3" s="3">
        <v>97</v>
      </c>
      <c r="R3" s="3">
        <v>90</v>
      </c>
      <c r="S3" s="3">
        <v>70</v>
      </c>
      <c r="T3" s="3">
        <f t="shared" si="1"/>
        <v>91</v>
      </c>
      <c r="U3" s="3" t="str" cm="1">
        <f t="array" ref="U3">_xlfn.IFS(T3&gt;=90,"Low",T3&gt;=75,"Moderate",T3&gt;=60,"Elevated",TRUE,"High")</f>
        <v>Low</v>
      </c>
      <c r="V3" s="3" t="str">
        <f t="shared" si="2"/>
        <v>Yes</v>
      </c>
      <c r="W3" s="16">
        <v>46752</v>
      </c>
      <c r="X3" s="3">
        <f>_xlfn.XLOOKUP(I3,'Lookup Tables'!$H$4:$H$7,'Lookup Tables'!$I$4:$I$7)</f>
        <v>90</v>
      </c>
      <c r="Y3" s="3" t="s">
        <v>243</v>
      </c>
      <c r="Z3" s="1" t="s">
        <v>245</v>
      </c>
    </row>
    <row r="4" spans="1:26" ht="57.6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169</v>
      </c>
      <c r="G4" s="5" t="s">
        <v>187</v>
      </c>
      <c r="H4" s="5" t="s">
        <v>197</v>
      </c>
      <c r="I4" s="5" t="s">
        <v>31</v>
      </c>
      <c r="J4" s="5" t="s">
        <v>203</v>
      </c>
      <c r="K4" s="5" t="s">
        <v>207</v>
      </c>
      <c r="L4" s="5" t="s">
        <v>211</v>
      </c>
      <c r="M4" s="15">
        <v>46204</v>
      </c>
      <c r="N4" s="15">
        <f t="shared" si="0"/>
        <v>46294</v>
      </c>
      <c r="O4" s="3">
        <v>90</v>
      </c>
      <c r="P4" s="3">
        <v>92</v>
      </c>
      <c r="Q4" s="3">
        <v>88</v>
      </c>
      <c r="R4" s="3">
        <v>91</v>
      </c>
      <c r="S4" s="3">
        <v>72</v>
      </c>
      <c r="T4" s="3">
        <f t="shared" si="1"/>
        <v>89</v>
      </c>
      <c r="U4" s="3" t="str" cm="1">
        <f t="array" ref="U4">_xlfn.IFS(T4&gt;=90,"Low",T4&gt;=75,"Moderate",T4&gt;=60,"Elevated",TRUE,"High")</f>
        <v>Moderate</v>
      </c>
      <c r="V4" s="3" t="str">
        <f t="shared" si="2"/>
        <v>Yes</v>
      </c>
      <c r="W4" s="16">
        <v>46752</v>
      </c>
      <c r="X4" s="3">
        <f>_xlfn.XLOOKUP(I4,'Lookup Tables'!$H$4:$H$7,'Lookup Tables'!$I$4:$I$7)</f>
        <v>90</v>
      </c>
      <c r="Y4" s="3" t="s">
        <v>243</v>
      </c>
      <c r="Z4" s="1" t="s">
        <v>246</v>
      </c>
    </row>
    <row r="5" spans="1:26" ht="57.6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170</v>
      </c>
      <c r="G5" s="5" t="s">
        <v>188</v>
      </c>
      <c r="H5" s="5" t="s">
        <v>198</v>
      </c>
      <c r="I5" s="5" t="s">
        <v>31</v>
      </c>
      <c r="J5" s="5" t="s">
        <v>203</v>
      </c>
      <c r="K5" s="5" t="s">
        <v>207</v>
      </c>
      <c r="L5" s="5" t="s">
        <v>212</v>
      </c>
      <c r="M5" s="15">
        <v>46204</v>
      </c>
      <c r="N5" s="15">
        <f t="shared" si="0"/>
        <v>46294</v>
      </c>
      <c r="O5" s="3">
        <v>82</v>
      </c>
      <c r="P5" s="3">
        <v>84</v>
      </c>
      <c r="Q5" s="3">
        <v>96</v>
      </c>
      <c r="R5" s="3">
        <v>80</v>
      </c>
      <c r="S5" s="3">
        <v>60</v>
      </c>
      <c r="T5" s="3">
        <f t="shared" si="1"/>
        <v>83</v>
      </c>
      <c r="U5" s="3" t="str" cm="1">
        <f t="array" ref="U5">_xlfn.IFS(T5&gt;=90,"Low",T5&gt;=75,"Moderate",T5&gt;=60,"Elevated",TRUE,"High")</f>
        <v>Moderate</v>
      </c>
      <c r="V5" s="3" t="str">
        <f t="shared" si="2"/>
        <v>Yes</v>
      </c>
      <c r="W5" s="16">
        <v>46752</v>
      </c>
      <c r="X5" s="3">
        <f>_xlfn.XLOOKUP(I5,'Lookup Tables'!$H$4:$H$7,'Lookup Tables'!$I$4:$I$7)</f>
        <v>90</v>
      </c>
      <c r="Y5" s="3" t="s">
        <v>243</v>
      </c>
      <c r="Z5" s="1" t="s">
        <v>247</v>
      </c>
    </row>
    <row r="6" spans="1:26" ht="43.2">
      <c r="A6" s="5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171</v>
      </c>
      <c r="G6" s="5" t="s">
        <v>189</v>
      </c>
      <c r="H6" s="5" t="s">
        <v>199</v>
      </c>
      <c r="I6" s="5" t="s">
        <v>52</v>
      </c>
      <c r="J6" s="5" t="s">
        <v>204</v>
      </c>
      <c r="K6" s="5" t="s">
        <v>207</v>
      </c>
      <c r="L6" s="5" t="s">
        <v>211</v>
      </c>
      <c r="M6" s="15">
        <v>46218</v>
      </c>
      <c r="N6" s="15">
        <f t="shared" si="0"/>
        <v>46398</v>
      </c>
      <c r="O6" s="3">
        <v>91</v>
      </c>
      <c r="P6" s="3">
        <v>90</v>
      </c>
      <c r="Q6" s="3">
        <v>85</v>
      </c>
      <c r="R6" s="3">
        <v>89</v>
      </c>
      <c r="S6" s="3">
        <v>75</v>
      </c>
      <c r="T6" s="3">
        <f t="shared" si="1"/>
        <v>88</v>
      </c>
      <c r="U6" s="3" t="str" cm="1">
        <f t="array" ref="U6">_xlfn.IFS(T6&gt;=90,"Low",T6&gt;=75,"Moderate",T6&gt;=60,"Elevated",TRUE,"High")</f>
        <v>Moderate</v>
      </c>
      <c r="V6" s="3" t="str">
        <f t="shared" si="2"/>
        <v>Yes</v>
      </c>
      <c r="W6" s="14">
        <v>46568</v>
      </c>
      <c r="X6" s="3">
        <f>_xlfn.XLOOKUP(I6,'Lookup Tables'!$H$4:$H$7,'Lookup Tables'!$I$4:$I$7)</f>
        <v>180</v>
      </c>
      <c r="Y6" s="3" t="s">
        <v>243</v>
      </c>
      <c r="Z6" s="1" t="s">
        <v>249</v>
      </c>
    </row>
    <row r="7" spans="1:26" ht="43.2">
      <c r="A7" s="5" t="s">
        <v>53</v>
      </c>
      <c r="B7" s="5" t="s">
        <v>54</v>
      </c>
      <c r="C7" s="5" t="s">
        <v>55</v>
      </c>
      <c r="D7" s="5" t="s">
        <v>56</v>
      </c>
      <c r="E7" s="5" t="s">
        <v>54</v>
      </c>
      <c r="F7" s="5" t="s">
        <v>167</v>
      </c>
      <c r="G7" s="5" t="s">
        <v>189</v>
      </c>
      <c r="H7" s="5" t="s">
        <v>195</v>
      </c>
      <c r="I7" s="5" t="s">
        <v>52</v>
      </c>
      <c r="J7" s="5" t="s">
        <v>204</v>
      </c>
      <c r="K7" s="5" t="s">
        <v>207</v>
      </c>
      <c r="L7" s="5" t="s">
        <v>211</v>
      </c>
      <c r="M7" s="15">
        <v>46218</v>
      </c>
      <c r="N7" s="15">
        <f t="shared" si="0"/>
        <v>46398</v>
      </c>
      <c r="O7" s="3">
        <v>92</v>
      </c>
      <c r="P7" s="3">
        <v>91</v>
      </c>
      <c r="Q7" s="3">
        <v>86</v>
      </c>
      <c r="R7" s="3">
        <v>90</v>
      </c>
      <c r="S7" s="3">
        <v>73</v>
      </c>
      <c r="T7" s="3">
        <f t="shared" si="1"/>
        <v>88</v>
      </c>
      <c r="U7" s="3" t="str" cm="1">
        <f t="array" ref="U7">_xlfn.IFS(T7&gt;=90,"Low",T7&gt;=75,"Moderate",T7&gt;=60,"Elevated",TRUE,"High")</f>
        <v>Moderate</v>
      </c>
      <c r="V7" s="3" t="str">
        <f t="shared" si="2"/>
        <v>Yes</v>
      </c>
      <c r="W7" s="14">
        <v>46568</v>
      </c>
      <c r="X7" s="3">
        <f>_xlfn.XLOOKUP(I7,'Lookup Tables'!$H$4:$H$7,'Lookup Tables'!$I$4:$I$7)</f>
        <v>180</v>
      </c>
      <c r="Y7" s="3" t="s">
        <v>243</v>
      </c>
      <c r="Z7" s="1" t="s">
        <v>249</v>
      </c>
    </row>
    <row r="8" spans="1:26" ht="43.2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172</v>
      </c>
      <c r="G8" s="5" t="s">
        <v>190</v>
      </c>
      <c r="H8" s="5" t="s">
        <v>195</v>
      </c>
      <c r="I8" s="5" t="s">
        <v>52</v>
      </c>
      <c r="J8" s="5" t="s">
        <v>205</v>
      </c>
      <c r="K8" s="5" t="s">
        <v>207</v>
      </c>
      <c r="L8" s="5" t="s">
        <v>213</v>
      </c>
      <c r="M8" s="15">
        <v>46218</v>
      </c>
      <c r="N8" s="15">
        <f t="shared" si="0"/>
        <v>46398</v>
      </c>
      <c r="O8" s="3">
        <v>90</v>
      </c>
      <c r="P8" s="3">
        <v>88</v>
      </c>
      <c r="Q8" s="3">
        <v>82</v>
      </c>
      <c r="R8" s="3">
        <v>88</v>
      </c>
      <c r="S8" s="3">
        <v>72</v>
      </c>
      <c r="T8" s="3">
        <f t="shared" si="1"/>
        <v>86</v>
      </c>
      <c r="U8" s="3" t="str" cm="1">
        <f t="array" ref="U8">_xlfn.IFS(T8&gt;=90,"Low",T8&gt;=75,"Moderate",T8&gt;=60,"Elevated",TRUE,"High")</f>
        <v>Moderate</v>
      </c>
      <c r="V8" s="3" t="str">
        <f t="shared" si="2"/>
        <v>Yes</v>
      </c>
      <c r="W8" s="14">
        <v>46568</v>
      </c>
      <c r="X8" s="3">
        <f>_xlfn.XLOOKUP(I8,'Lookup Tables'!$H$4:$H$7,'Lookup Tables'!$I$4:$I$7)</f>
        <v>180</v>
      </c>
      <c r="Y8" s="3" t="s">
        <v>243</v>
      </c>
      <c r="Z8" s="1" t="s">
        <v>249</v>
      </c>
    </row>
    <row r="9" spans="1:26" ht="43.2">
      <c r="A9" s="5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173</v>
      </c>
      <c r="G9" s="5" t="s">
        <v>191</v>
      </c>
      <c r="H9" s="5" t="s">
        <v>195</v>
      </c>
      <c r="I9" s="5" t="s">
        <v>52</v>
      </c>
      <c r="J9" s="5" t="s">
        <v>205</v>
      </c>
      <c r="K9" s="5" t="s">
        <v>207</v>
      </c>
      <c r="L9" s="5" t="s">
        <v>211</v>
      </c>
      <c r="M9" s="15">
        <v>46218</v>
      </c>
      <c r="N9" s="15">
        <f t="shared" si="0"/>
        <v>46398</v>
      </c>
      <c r="O9" s="3">
        <v>89</v>
      </c>
      <c r="P9" s="3">
        <v>92</v>
      </c>
      <c r="Q9" s="3">
        <v>83</v>
      </c>
      <c r="R9" s="3">
        <v>90</v>
      </c>
      <c r="S9" s="3">
        <v>71</v>
      </c>
      <c r="T9" s="3">
        <f t="shared" si="1"/>
        <v>87</v>
      </c>
      <c r="U9" s="3" t="str" cm="1">
        <f t="array" ref="U9">_xlfn.IFS(T9&gt;=90,"Low",T9&gt;=75,"Moderate",T9&gt;=60,"Elevated",TRUE,"High")</f>
        <v>Moderate</v>
      </c>
      <c r="V9" s="3" t="str">
        <f t="shared" si="2"/>
        <v>Yes</v>
      </c>
      <c r="W9" s="14">
        <v>46568</v>
      </c>
      <c r="X9" s="3">
        <f>_xlfn.XLOOKUP(I9,'Lookup Tables'!$H$4:$H$7,'Lookup Tables'!$I$4:$I$7)</f>
        <v>180</v>
      </c>
      <c r="Y9" s="3" t="s">
        <v>243</v>
      </c>
      <c r="Z9" s="1" t="s">
        <v>249</v>
      </c>
    </row>
    <row r="10" spans="1:26" ht="43.2">
      <c r="A10" s="5" t="s">
        <v>67</v>
      </c>
      <c r="B10" s="5" t="s">
        <v>68</v>
      </c>
      <c r="C10" s="5" t="s">
        <v>69</v>
      </c>
      <c r="D10" s="5" t="s">
        <v>70</v>
      </c>
      <c r="E10" s="5" t="s">
        <v>71</v>
      </c>
      <c r="F10" s="5" t="s">
        <v>174</v>
      </c>
      <c r="G10" s="5" t="s">
        <v>192</v>
      </c>
      <c r="H10" s="5" t="s">
        <v>200</v>
      </c>
      <c r="I10" s="5" t="s">
        <v>52</v>
      </c>
      <c r="J10" s="5" t="s">
        <v>204</v>
      </c>
      <c r="K10" s="5" t="s">
        <v>207</v>
      </c>
      <c r="L10" s="5" t="s">
        <v>214</v>
      </c>
      <c r="M10" s="15">
        <v>46218</v>
      </c>
      <c r="N10" s="15">
        <f t="shared" si="0"/>
        <v>46398</v>
      </c>
      <c r="O10" s="3">
        <v>91</v>
      </c>
      <c r="P10" s="3">
        <v>95</v>
      </c>
      <c r="Q10" s="3">
        <v>84</v>
      </c>
      <c r="R10" s="3">
        <v>93</v>
      </c>
      <c r="S10" s="3">
        <v>69</v>
      </c>
      <c r="T10" s="3">
        <f t="shared" si="1"/>
        <v>89</v>
      </c>
      <c r="U10" s="3" t="str" cm="1">
        <f t="array" ref="U10">_xlfn.IFS(T10&gt;=90,"Low",T10&gt;=75,"Moderate",T10&gt;=60,"Elevated",TRUE,"High")</f>
        <v>Moderate</v>
      </c>
      <c r="V10" s="3" t="str">
        <f t="shared" si="2"/>
        <v>Yes</v>
      </c>
      <c r="W10" s="14">
        <v>46568</v>
      </c>
      <c r="X10" s="3">
        <f>_xlfn.XLOOKUP(I10,'Lookup Tables'!$H$4:$H$7,'Lookup Tables'!$I$4:$I$7)</f>
        <v>180</v>
      </c>
      <c r="Y10" s="3" t="s">
        <v>243</v>
      </c>
      <c r="Z10" s="1" t="s">
        <v>249</v>
      </c>
    </row>
    <row r="11" spans="1:26" ht="43.2">
      <c r="A11" s="5" t="s">
        <v>72</v>
      </c>
      <c r="B11" s="5" t="s">
        <v>73</v>
      </c>
      <c r="C11" s="5" t="s">
        <v>64</v>
      </c>
      <c r="D11" s="5" t="s">
        <v>70</v>
      </c>
      <c r="E11" s="5" t="s">
        <v>74</v>
      </c>
      <c r="F11" s="5" t="s">
        <v>174</v>
      </c>
      <c r="G11" s="5" t="s">
        <v>192</v>
      </c>
      <c r="H11" s="5" t="s">
        <v>200</v>
      </c>
      <c r="I11" s="5" t="s">
        <v>52</v>
      </c>
      <c r="J11" s="5" t="s">
        <v>205</v>
      </c>
      <c r="K11" s="5" t="s">
        <v>207</v>
      </c>
      <c r="L11" s="5" t="s">
        <v>214</v>
      </c>
      <c r="M11" s="15">
        <v>46218</v>
      </c>
      <c r="N11" s="15">
        <f t="shared" si="0"/>
        <v>46398</v>
      </c>
      <c r="O11" s="3">
        <v>91</v>
      </c>
      <c r="P11" s="3">
        <v>94</v>
      </c>
      <c r="Q11" s="3">
        <v>85</v>
      </c>
      <c r="R11" s="3">
        <v>92</v>
      </c>
      <c r="S11" s="3">
        <v>68</v>
      </c>
      <c r="T11" s="3">
        <f t="shared" si="1"/>
        <v>88</v>
      </c>
      <c r="U11" s="3" t="str" cm="1">
        <f t="array" ref="U11">_xlfn.IFS(T11&gt;=90,"Low",T11&gt;=75,"Moderate",T11&gt;=60,"Elevated",TRUE,"High")</f>
        <v>Moderate</v>
      </c>
      <c r="V11" s="3" t="str">
        <f t="shared" si="2"/>
        <v>Yes</v>
      </c>
      <c r="W11" s="14">
        <v>46568</v>
      </c>
      <c r="X11" s="3">
        <f>_xlfn.XLOOKUP(I11,'Lookup Tables'!$H$4:$H$7,'Lookup Tables'!$I$4:$I$7)</f>
        <v>180</v>
      </c>
      <c r="Y11" s="3" t="s">
        <v>243</v>
      </c>
      <c r="Z11" s="1" t="s">
        <v>249</v>
      </c>
    </row>
    <row r="12" spans="1:26" ht="57.6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46</v>
      </c>
      <c r="F12" s="5" t="s">
        <v>175</v>
      </c>
      <c r="G12" s="5" t="s">
        <v>188</v>
      </c>
      <c r="H12" s="5" t="s">
        <v>198</v>
      </c>
      <c r="I12" s="5" t="s">
        <v>31</v>
      </c>
      <c r="J12" s="5" t="s">
        <v>204</v>
      </c>
      <c r="K12" s="5" t="s">
        <v>207</v>
      </c>
      <c r="L12" s="5" t="s">
        <v>211</v>
      </c>
      <c r="M12" s="15">
        <v>46204</v>
      </c>
      <c r="N12" s="15">
        <f t="shared" si="0"/>
        <v>46294</v>
      </c>
      <c r="O12" s="3">
        <v>88</v>
      </c>
      <c r="P12" s="3">
        <v>89</v>
      </c>
      <c r="Q12" s="3">
        <v>97</v>
      </c>
      <c r="R12" s="3">
        <v>87</v>
      </c>
      <c r="S12" s="3">
        <v>74</v>
      </c>
      <c r="T12" s="3">
        <f t="shared" si="1"/>
        <v>88</v>
      </c>
      <c r="U12" s="3" t="str" cm="1">
        <f t="array" ref="U12">_xlfn.IFS(T12&gt;=90,"Low",T12&gt;=75,"Moderate",T12&gt;=60,"Elevated",TRUE,"High")</f>
        <v>Moderate</v>
      </c>
      <c r="V12" s="3" t="str">
        <f t="shared" si="2"/>
        <v>Yes</v>
      </c>
      <c r="W12" s="16">
        <v>46752</v>
      </c>
      <c r="X12" s="3">
        <f>_xlfn.XLOOKUP(I12,'Lookup Tables'!$H$4:$H$7,'Lookup Tables'!$I$4:$I$7)</f>
        <v>90</v>
      </c>
      <c r="Y12" s="3" t="s">
        <v>243</v>
      </c>
      <c r="Z12" s="1" t="s">
        <v>248</v>
      </c>
    </row>
    <row r="13" spans="1:26" ht="43.2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176</v>
      </c>
      <c r="G13" s="5" t="s">
        <v>188</v>
      </c>
      <c r="H13" s="5" t="s">
        <v>198</v>
      </c>
      <c r="I13" s="5" t="s">
        <v>52</v>
      </c>
      <c r="J13" s="5" t="s">
        <v>204</v>
      </c>
      <c r="K13" s="5" t="s">
        <v>207</v>
      </c>
      <c r="L13" s="5" t="s">
        <v>211</v>
      </c>
      <c r="M13" s="15">
        <v>46218</v>
      </c>
      <c r="N13" s="15">
        <f t="shared" si="0"/>
        <v>46398</v>
      </c>
      <c r="O13" s="3">
        <v>86</v>
      </c>
      <c r="P13" s="3">
        <v>87</v>
      </c>
      <c r="Q13" s="3">
        <v>92</v>
      </c>
      <c r="R13" s="3">
        <v>84</v>
      </c>
      <c r="S13" s="3">
        <v>73</v>
      </c>
      <c r="T13" s="3">
        <f t="shared" si="1"/>
        <v>86</v>
      </c>
      <c r="U13" s="3" t="str" cm="1">
        <f t="array" ref="U13">_xlfn.IFS(T13&gt;=90,"Low",T13&gt;=75,"Moderate",T13&gt;=60,"Elevated",TRUE,"High")</f>
        <v>Moderate</v>
      </c>
      <c r="V13" s="3" t="str">
        <f t="shared" si="2"/>
        <v>Yes</v>
      </c>
      <c r="W13" s="14">
        <v>46568</v>
      </c>
      <c r="X13" s="3">
        <f>_xlfn.XLOOKUP(I13,'Lookup Tables'!$H$4:$H$7,'Lookup Tables'!$I$4:$I$7)</f>
        <v>180</v>
      </c>
      <c r="Y13" s="3" t="s">
        <v>243</v>
      </c>
      <c r="Z13" s="1" t="s">
        <v>249</v>
      </c>
    </row>
    <row r="14" spans="1:26" ht="43.2">
      <c r="A14" s="5" t="s">
        <v>84</v>
      </c>
      <c r="B14" s="5" t="s">
        <v>85</v>
      </c>
      <c r="C14" s="5" t="s">
        <v>86</v>
      </c>
      <c r="D14" s="5" t="s">
        <v>87</v>
      </c>
      <c r="E14" s="5" t="s">
        <v>83</v>
      </c>
      <c r="F14" s="5" t="s">
        <v>175</v>
      </c>
      <c r="G14" s="5" t="s">
        <v>188</v>
      </c>
      <c r="H14" s="5" t="s">
        <v>198</v>
      </c>
      <c r="I14" s="5" t="s">
        <v>52</v>
      </c>
      <c r="J14" s="5" t="s">
        <v>204</v>
      </c>
      <c r="K14" s="5" t="s">
        <v>207</v>
      </c>
      <c r="L14" s="5" t="s">
        <v>211</v>
      </c>
      <c r="M14" s="15">
        <v>46218</v>
      </c>
      <c r="N14" s="15">
        <f t="shared" si="0"/>
        <v>46398</v>
      </c>
      <c r="O14" s="3">
        <v>86</v>
      </c>
      <c r="P14" s="3">
        <v>86</v>
      </c>
      <c r="Q14" s="3">
        <v>90</v>
      </c>
      <c r="R14" s="3">
        <v>84</v>
      </c>
      <c r="S14" s="3">
        <v>72</v>
      </c>
      <c r="T14" s="3">
        <f t="shared" si="1"/>
        <v>85</v>
      </c>
      <c r="U14" s="3" t="str" cm="1">
        <f t="array" ref="U14">_xlfn.IFS(T14&gt;=90,"Low",T14&gt;=75,"Moderate",T14&gt;=60,"Elevated",TRUE,"High")</f>
        <v>Moderate</v>
      </c>
      <c r="V14" s="3" t="str">
        <f t="shared" si="2"/>
        <v>Yes</v>
      </c>
      <c r="W14" s="14">
        <v>46568</v>
      </c>
      <c r="X14" s="3">
        <f>_xlfn.XLOOKUP(I14,'Lookup Tables'!$H$4:$H$7,'Lookup Tables'!$I$4:$I$7)</f>
        <v>180</v>
      </c>
      <c r="Y14" s="3" t="s">
        <v>243</v>
      </c>
      <c r="Z14" s="1" t="s">
        <v>249</v>
      </c>
    </row>
    <row r="15" spans="1:26" ht="57.6">
      <c r="A15" s="5" t="s">
        <v>88</v>
      </c>
      <c r="B15" s="5" t="s">
        <v>89</v>
      </c>
      <c r="C15" s="5" t="s">
        <v>90</v>
      </c>
      <c r="D15" s="5" t="s">
        <v>91</v>
      </c>
      <c r="E15" s="5" t="s">
        <v>83</v>
      </c>
      <c r="F15" s="5" t="s">
        <v>175</v>
      </c>
      <c r="G15" s="5" t="s">
        <v>188</v>
      </c>
      <c r="H15" s="5" t="s">
        <v>198</v>
      </c>
      <c r="I15" s="5" t="s">
        <v>96</v>
      </c>
      <c r="J15" s="5" t="s">
        <v>204</v>
      </c>
      <c r="K15" s="5" t="s">
        <v>207</v>
      </c>
      <c r="L15" s="5" t="s">
        <v>211</v>
      </c>
      <c r="M15" s="15">
        <v>46235</v>
      </c>
      <c r="N15" s="15">
        <f t="shared" si="0"/>
        <v>46600</v>
      </c>
      <c r="O15" s="3">
        <v>85</v>
      </c>
      <c r="P15" s="3">
        <v>86</v>
      </c>
      <c r="Q15" s="3">
        <v>88</v>
      </c>
      <c r="R15" s="3">
        <v>82</v>
      </c>
      <c r="S15" s="3">
        <v>72</v>
      </c>
      <c r="T15" s="3">
        <f t="shared" si="1"/>
        <v>84</v>
      </c>
      <c r="U15" s="3" t="str" cm="1">
        <f t="array" ref="U15">_xlfn.IFS(T15&gt;=90,"Low",T15&gt;=75,"Moderate",T15&gt;=60,"Elevated",TRUE,"High")</f>
        <v>Moderate</v>
      </c>
      <c r="V15" s="3" t="str">
        <f t="shared" si="2"/>
        <v>No</v>
      </c>
      <c r="W15" s="14">
        <v>46387</v>
      </c>
      <c r="X15" s="3">
        <f>_xlfn.XLOOKUP(I15,'Lookup Tables'!$H$4:$H$7,'Lookup Tables'!$I$4:$I$7)</f>
        <v>365</v>
      </c>
      <c r="Y15" s="3" t="s">
        <v>243</v>
      </c>
      <c r="Z15" s="1" t="s">
        <v>250</v>
      </c>
    </row>
    <row r="16" spans="1:26" ht="57.6">
      <c r="A16" s="5" t="s">
        <v>92</v>
      </c>
      <c r="B16" s="5" t="s">
        <v>93</v>
      </c>
      <c r="C16" s="5" t="s">
        <v>94</v>
      </c>
      <c r="D16" s="5" t="s">
        <v>95</v>
      </c>
      <c r="E16" s="5" t="s">
        <v>83</v>
      </c>
      <c r="F16" s="5" t="s">
        <v>177</v>
      </c>
      <c r="G16" s="5" t="s">
        <v>188</v>
      </c>
      <c r="H16" s="5" t="s">
        <v>198</v>
      </c>
      <c r="I16" s="5" t="s">
        <v>96</v>
      </c>
      <c r="J16" s="5" t="s">
        <v>205</v>
      </c>
      <c r="K16" s="5" t="s">
        <v>208</v>
      </c>
      <c r="L16" s="5" t="s">
        <v>211</v>
      </c>
      <c r="M16" s="15">
        <v>46235</v>
      </c>
      <c r="N16" s="15">
        <f t="shared" si="0"/>
        <v>46600</v>
      </c>
      <c r="O16" s="3">
        <v>84</v>
      </c>
      <c r="P16" s="3">
        <v>83</v>
      </c>
      <c r="Q16" s="3">
        <v>82</v>
      </c>
      <c r="R16" s="3">
        <v>80</v>
      </c>
      <c r="S16" s="3">
        <v>74</v>
      </c>
      <c r="T16" s="3">
        <f t="shared" si="1"/>
        <v>82</v>
      </c>
      <c r="U16" s="3" t="str" cm="1">
        <f t="array" ref="U16">_xlfn.IFS(T16&gt;=90,"Low",T16&gt;=75,"Moderate",T16&gt;=60,"Elevated",TRUE,"High")</f>
        <v>Moderate</v>
      </c>
      <c r="V16" s="3" t="str">
        <f t="shared" si="2"/>
        <v>No</v>
      </c>
      <c r="W16" s="14">
        <v>46387</v>
      </c>
      <c r="X16" s="3">
        <f>_xlfn.XLOOKUP(I16,'Lookup Tables'!$H$4:$H$7,'Lookup Tables'!$I$4:$I$7)</f>
        <v>365</v>
      </c>
      <c r="Y16" s="3" t="s">
        <v>243</v>
      </c>
      <c r="Z16" s="1" t="s">
        <v>250</v>
      </c>
    </row>
    <row r="17" spans="1:26" ht="43.2">
      <c r="A17" s="5" t="s">
        <v>97</v>
      </c>
      <c r="B17" s="5" t="s">
        <v>98</v>
      </c>
      <c r="C17" s="5" t="s">
        <v>99</v>
      </c>
      <c r="D17" s="5" t="s">
        <v>100</v>
      </c>
      <c r="E17" s="5" t="s">
        <v>101</v>
      </c>
      <c r="F17" s="5" t="s">
        <v>178</v>
      </c>
      <c r="G17" s="5" t="s">
        <v>193</v>
      </c>
      <c r="H17" s="5" t="s">
        <v>197</v>
      </c>
      <c r="I17" s="5" t="s">
        <v>52</v>
      </c>
      <c r="J17" s="5" t="s">
        <v>203</v>
      </c>
      <c r="K17" s="5" t="s">
        <v>207</v>
      </c>
      <c r="L17" s="5" t="s">
        <v>212</v>
      </c>
      <c r="M17" s="15">
        <v>46218</v>
      </c>
      <c r="N17" s="15">
        <f t="shared" si="0"/>
        <v>46398</v>
      </c>
      <c r="O17" s="3">
        <v>88</v>
      </c>
      <c r="P17" s="3">
        <v>90</v>
      </c>
      <c r="Q17" s="3">
        <v>89</v>
      </c>
      <c r="R17" s="3">
        <v>88</v>
      </c>
      <c r="S17" s="3">
        <v>70</v>
      </c>
      <c r="T17" s="3">
        <f t="shared" si="1"/>
        <v>87</v>
      </c>
      <c r="U17" s="3" t="str" cm="1">
        <f t="array" ref="U17">_xlfn.IFS(T17&gt;=90,"Low",T17&gt;=75,"Moderate",T17&gt;=60,"Elevated",TRUE,"High")</f>
        <v>Moderate</v>
      </c>
      <c r="V17" s="3" t="str">
        <f t="shared" si="2"/>
        <v>Yes</v>
      </c>
      <c r="W17" s="14">
        <v>46568</v>
      </c>
      <c r="X17" s="3">
        <f>_xlfn.XLOOKUP(I17,'Lookup Tables'!$H$4:$H$7,'Lookup Tables'!$I$4:$I$7)</f>
        <v>180</v>
      </c>
      <c r="Y17" s="3" t="s">
        <v>243</v>
      </c>
      <c r="Z17" s="1" t="s">
        <v>249</v>
      </c>
    </row>
    <row r="18" spans="1:26" ht="57.6">
      <c r="A18" s="5" t="s">
        <v>102</v>
      </c>
      <c r="B18" s="5" t="s">
        <v>103</v>
      </c>
      <c r="C18" s="5" t="s">
        <v>104</v>
      </c>
      <c r="D18" s="5" t="s">
        <v>105</v>
      </c>
      <c r="E18" s="5" t="s">
        <v>41</v>
      </c>
      <c r="F18" s="5" t="s">
        <v>169</v>
      </c>
      <c r="G18" s="5" t="s">
        <v>187</v>
      </c>
      <c r="H18" s="5" t="s">
        <v>197</v>
      </c>
      <c r="I18" s="5" t="s">
        <v>96</v>
      </c>
      <c r="J18" s="5" t="s">
        <v>203</v>
      </c>
      <c r="K18" s="5" t="s">
        <v>207</v>
      </c>
      <c r="L18" s="5" t="s">
        <v>211</v>
      </c>
      <c r="M18" s="15">
        <v>46235</v>
      </c>
      <c r="N18" s="15">
        <f t="shared" si="0"/>
        <v>46600</v>
      </c>
      <c r="O18" s="3">
        <v>88</v>
      </c>
      <c r="P18" s="3">
        <v>89</v>
      </c>
      <c r="Q18" s="3">
        <v>83</v>
      </c>
      <c r="R18" s="3">
        <v>86</v>
      </c>
      <c r="S18" s="3">
        <v>72</v>
      </c>
      <c r="T18" s="3">
        <f t="shared" si="1"/>
        <v>85</v>
      </c>
      <c r="U18" s="3" t="str" cm="1">
        <f t="array" ref="U18">_xlfn.IFS(T18&gt;=90,"Low",T18&gt;=75,"Moderate",T18&gt;=60,"Elevated",TRUE,"High")</f>
        <v>Moderate</v>
      </c>
      <c r="V18" s="3" t="str">
        <f t="shared" si="2"/>
        <v>No</v>
      </c>
      <c r="W18" s="14">
        <v>46387</v>
      </c>
      <c r="X18" s="3">
        <f>_xlfn.XLOOKUP(I18,'Lookup Tables'!$H$4:$H$7,'Lookup Tables'!$I$4:$I$7)</f>
        <v>365</v>
      </c>
      <c r="Y18" s="3" t="s">
        <v>243</v>
      </c>
      <c r="Z18" s="1" t="s">
        <v>250</v>
      </c>
    </row>
    <row r="19" spans="1:26" ht="57.6">
      <c r="A19" s="5" t="s">
        <v>106</v>
      </c>
      <c r="B19" s="5" t="s">
        <v>107</v>
      </c>
      <c r="C19" s="5" t="s">
        <v>108</v>
      </c>
      <c r="D19" s="5" t="s">
        <v>109</v>
      </c>
      <c r="E19" s="5" t="s">
        <v>110</v>
      </c>
      <c r="F19" s="5" t="s">
        <v>174</v>
      </c>
      <c r="G19" s="5" t="s">
        <v>192</v>
      </c>
      <c r="H19" s="5" t="s">
        <v>200</v>
      </c>
      <c r="I19" s="5" t="s">
        <v>96</v>
      </c>
      <c r="J19" s="5" t="s">
        <v>205</v>
      </c>
      <c r="K19" s="5" t="s">
        <v>207</v>
      </c>
      <c r="L19" s="5" t="s">
        <v>213</v>
      </c>
      <c r="M19" s="15">
        <v>46235</v>
      </c>
      <c r="N19" s="15">
        <f t="shared" si="0"/>
        <v>46600</v>
      </c>
      <c r="O19" s="3">
        <v>85</v>
      </c>
      <c r="P19" s="3">
        <v>87</v>
      </c>
      <c r="Q19" s="3">
        <v>78</v>
      </c>
      <c r="R19" s="3">
        <v>85</v>
      </c>
      <c r="S19" s="3">
        <v>70</v>
      </c>
      <c r="T19" s="3">
        <f t="shared" si="1"/>
        <v>83</v>
      </c>
      <c r="U19" s="3" t="str" cm="1">
        <f t="array" ref="U19">_xlfn.IFS(T19&gt;=90,"Low",T19&gt;=75,"Moderate",T19&gt;=60,"Elevated",TRUE,"High")</f>
        <v>Moderate</v>
      </c>
      <c r="V19" s="3" t="str">
        <f t="shared" si="2"/>
        <v>No</v>
      </c>
      <c r="W19" s="14">
        <v>46387</v>
      </c>
      <c r="X19" s="3">
        <f>_xlfn.XLOOKUP(I19,'Lookup Tables'!$H$4:$H$7,'Lookup Tables'!$I$4:$I$7)</f>
        <v>365</v>
      </c>
      <c r="Y19" s="3" t="s">
        <v>243</v>
      </c>
      <c r="Z19" s="1" t="s">
        <v>250</v>
      </c>
    </row>
    <row r="20" spans="1:26" ht="57.6">
      <c r="A20" s="5" t="s">
        <v>111</v>
      </c>
      <c r="B20" s="5" t="s">
        <v>112</v>
      </c>
      <c r="C20" s="5" t="s">
        <v>113</v>
      </c>
      <c r="D20" s="5" t="s">
        <v>114</v>
      </c>
      <c r="E20" s="5" t="s">
        <v>83</v>
      </c>
      <c r="F20" s="5" t="s">
        <v>179</v>
      </c>
      <c r="G20" s="5" t="s">
        <v>194</v>
      </c>
      <c r="H20" s="5" t="s">
        <v>195</v>
      </c>
      <c r="I20" s="5" t="s">
        <v>96</v>
      </c>
      <c r="J20" s="5" t="s">
        <v>204</v>
      </c>
      <c r="K20" s="5" t="s">
        <v>207</v>
      </c>
      <c r="L20" s="5" t="s">
        <v>211</v>
      </c>
      <c r="M20" s="15">
        <v>46235</v>
      </c>
      <c r="N20" s="15">
        <f t="shared" si="0"/>
        <v>46600</v>
      </c>
      <c r="O20" s="3">
        <v>86</v>
      </c>
      <c r="P20" s="3">
        <v>88</v>
      </c>
      <c r="Q20" s="3">
        <v>80</v>
      </c>
      <c r="R20" s="3">
        <v>86</v>
      </c>
      <c r="S20" s="3">
        <v>71</v>
      </c>
      <c r="T20" s="3">
        <f t="shared" si="1"/>
        <v>84</v>
      </c>
      <c r="U20" s="3" t="str" cm="1">
        <f t="array" ref="U20">_xlfn.IFS(T20&gt;=90,"Low",T20&gt;=75,"Moderate",T20&gt;=60,"Elevated",TRUE,"High")</f>
        <v>Moderate</v>
      </c>
      <c r="V20" s="3" t="str">
        <f t="shared" si="2"/>
        <v>No</v>
      </c>
      <c r="W20" s="14">
        <v>46387</v>
      </c>
      <c r="X20" s="3">
        <f>_xlfn.XLOOKUP(I20,'Lookup Tables'!$H$4:$H$7,'Lookup Tables'!$I$4:$I$7)</f>
        <v>365</v>
      </c>
      <c r="Y20" s="3" t="s">
        <v>243</v>
      </c>
      <c r="Z20" s="1" t="s">
        <v>250</v>
      </c>
    </row>
    <row r="21" spans="1:26" ht="43.2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173</v>
      </c>
      <c r="G21" s="5" t="s">
        <v>191</v>
      </c>
      <c r="H21" s="5" t="s">
        <v>195</v>
      </c>
      <c r="I21" s="5" t="s">
        <v>52</v>
      </c>
      <c r="J21" s="5" t="s">
        <v>205</v>
      </c>
      <c r="K21" s="5" t="s">
        <v>207</v>
      </c>
      <c r="L21" s="5" t="s">
        <v>214</v>
      </c>
      <c r="M21" s="15">
        <v>46218</v>
      </c>
      <c r="N21" s="15">
        <f t="shared" si="0"/>
        <v>46398</v>
      </c>
      <c r="O21" s="3">
        <v>91</v>
      </c>
      <c r="P21" s="3">
        <v>92</v>
      </c>
      <c r="Q21" s="3">
        <v>84</v>
      </c>
      <c r="R21" s="3">
        <v>90</v>
      </c>
      <c r="S21" s="3">
        <v>69</v>
      </c>
      <c r="T21" s="3">
        <f t="shared" si="1"/>
        <v>87</v>
      </c>
      <c r="U21" s="3" t="str" cm="1">
        <f t="array" ref="U21">_xlfn.IFS(T21&gt;=90,"Low",T21&gt;=75,"Moderate",T21&gt;=60,"Elevated",TRUE,"High")</f>
        <v>Moderate</v>
      </c>
      <c r="V21" s="3" t="str">
        <f t="shared" si="2"/>
        <v>Yes</v>
      </c>
      <c r="W21" s="14">
        <v>46568</v>
      </c>
      <c r="X21" s="3">
        <f>_xlfn.XLOOKUP(I21,'Lookup Tables'!$H$4:$H$7,'Lookup Tables'!$I$4:$I$7)</f>
        <v>180</v>
      </c>
      <c r="Y21" s="3" t="s">
        <v>243</v>
      </c>
      <c r="Z21" s="1" t="s">
        <v>249</v>
      </c>
    </row>
    <row r="22" spans="1:26" ht="57.6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173</v>
      </c>
      <c r="G22" s="5" t="s">
        <v>191</v>
      </c>
      <c r="H22" s="5" t="s">
        <v>195</v>
      </c>
      <c r="I22" s="5" t="s">
        <v>96</v>
      </c>
      <c r="J22" s="5" t="s">
        <v>205</v>
      </c>
      <c r="K22" s="5" t="s">
        <v>208</v>
      </c>
      <c r="L22" s="5" t="s">
        <v>213</v>
      </c>
      <c r="M22" s="15">
        <v>46235</v>
      </c>
      <c r="N22" s="15">
        <f t="shared" si="0"/>
        <v>46600</v>
      </c>
      <c r="O22" s="3">
        <v>85</v>
      </c>
      <c r="P22" s="3">
        <v>88</v>
      </c>
      <c r="Q22" s="3">
        <v>84</v>
      </c>
      <c r="R22" s="3">
        <v>82</v>
      </c>
      <c r="S22" s="3">
        <v>69</v>
      </c>
      <c r="T22" s="3">
        <f t="shared" si="1"/>
        <v>83</v>
      </c>
      <c r="U22" s="3" t="str" cm="1">
        <f t="array" ref="U22">_xlfn.IFS(T22&gt;=90,"Low",T22&gt;=75,"Moderate",T22&gt;=60,"Elevated",TRUE,"High")</f>
        <v>Moderate</v>
      </c>
      <c r="V22" s="3" t="str">
        <f t="shared" si="2"/>
        <v>No</v>
      </c>
      <c r="W22" s="14">
        <v>46387</v>
      </c>
      <c r="X22" s="3">
        <f>_xlfn.XLOOKUP(I22,'Lookup Tables'!$H$4:$H$7,'Lookup Tables'!$I$4:$I$7)</f>
        <v>365</v>
      </c>
      <c r="Y22" s="3" t="s">
        <v>243</v>
      </c>
      <c r="Z22" s="1" t="s">
        <v>250</v>
      </c>
    </row>
    <row r="23" spans="1:26" ht="57.6">
      <c r="A23" s="5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180</v>
      </c>
      <c r="G23" s="5" t="s">
        <v>189</v>
      </c>
      <c r="H23" s="5" t="s">
        <v>196</v>
      </c>
      <c r="I23" s="5" t="s">
        <v>96</v>
      </c>
      <c r="J23" s="5" t="s">
        <v>204</v>
      </c>
      <c r="K23" s="5" t="s">
        <v>207</v>
      </c>
      <c r="L23" s="5" t="s">
        <v>211</v>
      </c>
      <c r="M23" s="15">
        <v>46235</v>
      </c>
      <c r="N23" s="15">
        <f t="shared" si="0"/>
        <v>46600</v>
      </c>
      <c r="O23" s="3">
        <v>87</v>
      </c>
      <c r="P23" s="3">
        <v>88</v>
      </c>
      <c r="Q23" s="3">
        <v>82</v>
      </c>
      <c r="R23" s="3">
        <v>84</v>
      </c>
      <c r="S23" s="3">
        <v>72</v>
      </c>
      <c r="T23" s="3">
        <f t="shared" si="1"/>
        <v>84</v>
      </c>
      <c r="U23" s="3" t="str" cm="1">
        <f t="array" ref="U23">_xlfn.IFS(T23&gt;=90,"Low",T23&gt;=75,"Moderate",T23&gt;=60,"Elevated",TRUE,"High")</f>
        <v>Moderate</v>
      </c>
      <c r="V23" s="3" t="str">
        <f t="shared" si="2"/>
        <v>No</v>
      </c>
      <c r="W23" s="14">
        <v>46387</v>
      </c>
      <c r="X23" s="3">
        <f>_xlfn.XLOOKUP(I23,'Lookup Tables'!$H$4:$H$7,'Lookup Tables'!$I$4:$I$7)</f>
        <v>365</v>
      </c>
      <c r="Y23" s="3" t="s">
        <v>243</v>
      </c>
      <c r="Z23" s="1" t="s">
        <v>250</v>
      </c>
    </row>
    <row r="24" spans="1:26" ht="43.2">
      <c r="A24" s="5" t="s">
        <v>130</v>
      </c>
      <c r="B24" s="5" t="s">
        <v>131</v>
      </c>
      <c r="C24" s="5" t="s">
        <v>132</v>
      </c>
      <c r="D24" s="5" t="s">
        <v>133</v>
      </c>
      <c r="E24" s="5" t="s">
        <v>134</v>
      </c>
      <c r="F24" s="5" t="s">
        <v>181</v>
      </c>
      <c r="G24" s="5" t="s">
        <v>189</v>
      </c>
      <c r="H24" s="5" t="s">
        <v>201</v>
      </c>
      <c r="I24" s="5" t="s">
        <v>135</v>
      </c>
      <c r="J24" s="5" t="s">
        <v>205</v>
      </c>
      <c r="K24" s="5" t="s">
        <v>207</v>
      </c>
      <c r="L24" s="5" t="s">
        <v>211</v>
      </c>
      <c r="M24" s="15">
        <v>46249</v>
      </c>
      <c r="N24" s="15">
        <f t="shared" si="0"/>
        <v>46979</v>
      </c>
      <c r="O24" s="3">
        <v>82</v>
      </c>
      <c r="P24" s="3">
        <v>83</v>
      </c>
      <c r="Q24" s="3">
        <v>65</v>
      </c>
      <c r="R24" s="3">
        <v>76</v>
      </c>
      <c r="S24" s="3">
        <v>74</v>
      </c>
      <c r="T24" s="3">
        <f t="shared" si="1"/>
        <v>77</v>
      </c>
      <c r="U24" s="3" t="str" cm="1">
        <f t="array" ref="U24">_xlfn.IFS(T24&gt;=90,"Low",T24&gt;=75,"Moderate",T24&gt;=60,"Elevated",TRUE,"High")</f>
        <v>Moderate</v>
      </c>
      <c r="V24" s="3" t="str">
        <f t="shared" si="2"/>
        <v>No</v>
      </c>
      <c r="W24" s="14">
        <v>46203</v>
      </c>
      <c r="X24" s="3">
        <f>_xlfn.XLOOKUP(I24,'Lookup Tables'!$H$4:$H$7,'Lookup Tables'!$I$4:$I$7)</f>
        <v>730</v>
      </c>
      <c r="Y24" s="3" t="s">
        <v>243</v>
      </c>
      <c r="Z24" s="1" t="s">
        <v>251</v>
      </c>
    </row>
    <row r="25" spans="1:26" ht="57.6">
      <c r="A25" s="5" t="s">
        <v>136</v>
      </c>
      <c r="B25" s="5" t="s">
        <v>137</v>
      </c>
      <c r="C25" s="5" t="s">
        <v>138</v>
      </c>
      <c r="D25" s="5" t="s">
        <v>139</v>
      </c>
      <c r="E25" s="5" t="s">
        <v>140</v>
      </c>
      <c r="F25" s="5" t="s">
        <v>172</v>
      </c>
      <c r="G25" s="5" t="s">
        <v>190</v>
      </c>
      <c r="H25" s="5" t="s">
        <v>195</v>
      </c>
      <c r="I25" s="5" t="s">
        <v>96</v>
      </c>
      <c r="J25" s="5" t="s">
        <v>205</v>
      </c>
      <c r="K25" s="5" t="s">
        <v>207</v>
      </c>
      <c r="L25" s="5" t="s">
        <v>211</v>
      </c>
      <c r="M25" s="15">
        <v>46235</v>
      </c>
      <c r="N25" s="15">
        <f t="shared" si="0"/>
        <v>46600</v>
      </c>
      <c r="O25" s="3">
        <v>86</v>
      </c>
      <c r="P25" s="3">
        <v>85</v>
      </c>
      <c r="Q25" s="3">
        <v>81</v>
      </c>
      <c r="R25" s="3">
        <v>83</v>
      </c>
      <c r="S25" s="3">
        <v>71</v>
      </c>
      <c r="T25" s="3">
        <f t="shared" si="1"/>
        <v>83</v>
      </c>
      <c r="U25" s="3" t="str" cm="1">
        <f t="array" ref="U25">_xlfn.IFS(T25&gt;=90,"Low",T25&gt;=75,"Moderate",T25&gt;=60,"Elevated",TRUE,"High")</f>
        <v>Moderate</v>
      </c>
      <c r="V25" s="3" t="str">
        <f t="shared" si="2"/>
        <v>No</v>
      </c>
      <c r="W25" s="14">
        <v>46387</v>
      </c>
      <c r="X25" s="3">
        <f>_xlfn.XLOOKUP(I25,'Lookup Tables'!$H$4:$H$7,'Lookup Tables'!$I$4:$I$7)</f>
        <v>365</v>
      </c>
      <c r="Y25" s="3" t="s">
        <v>243</v>
      </c>
      <c r="Z25" s="1" t="s">
        <v>250</v>
      </c>
    </row>
    <row r="26" spans="1:26" ht="57.6">
      <c r="A26" s="5" t="s">
        <v>141</v>
      </c>
      <c r="B26" s="5" t="s">
        <v>142</v>
      </c>
      <c r="C26" s="5" t="s">
        <v>143</v>
      </c>
      <c r="D26" s="5" t="s">
        <v>144</v>
      </c>
      <c r="E26" s="5" t="s">
        <v>142</v>
      </c>
      <c r="F26" s="5" t="s">
        <v>182</v>
      </c>
      <c r="G26" s="5" t="s">
        <v>189</v>
      </c>
      <c r="H26" s="5" t="s">
        <v>202</v>
      </c>
      <c r="I26" s="5" t="s">
        <v>96</v>
      </c>
      <c r="J26" s="5" t="s">
        <v>203</v>
      </c>
      <c r="K26" s="5" t="s">
        <v>207</v>
      </c>
      <c r="L26" s="5" t="s">
        <v>211</v>
      </c>
      <c r="M26" s="15">
        <v>46235</v>
      </c>
      <c r="N26" s="15">
        <f t="shared" si="0"/>
        <v>46600</v>
      </c>
      <c r="O26" s="3">
        <v>90</v>
      </c>
      <c r="P26" s="3">
        <v>89</v>
      </c>
      <c r="Q26" s="3">
        <v>86</v>
      </c>
      <c r="R26" s="3">
        <v>87</v>
      </c>
      <c r="S26" s="3">
        <v>72</v>
      </c>
      <c r="T26" s="3">
        <f t="shared" si="1"/>
        <v>87</v>
      </c>
      <c r="U26" s="3" t="str" cm="1">
        <f t="array" ref="U26">_xlfn.IFS(T26&gt;=90,"Low",T26&gt;=75,"Moderate",T26&gt;=60,"Elevated",TRUE,"High")</f>
        <v>Moderate</v>
      </c>
      <c r="V26" s="3" t="str">
        <f t="shared" si="2"/>
        <v>No</v>
      </c>
      <c r="W26" s="14">
        <v>46387</v>
      </c>
      <c r="X26" s="3">
        <f>_xlfn.XLOOKUP(I26,'Lookup Tables'!$H$4:$H$7,'Lookup Tables'!$I$4:$I$7)</f>
        <v>365</v>
      </c>
      <c r="Y26" s="3" t="s">
        <v>243</v>
      </c>
      <c r="Z26" s="1" t="s">
        <v>250</v>
      </c>
    </row>
    <row r="27" spans="1:26" ht="43.2">
      <c r="A27" s="5" t="s">
        <v>145</v>
      </c>
      <c r="B27" s="5" t="s">
        <v>146</v>
      </c>
      <c r="C27" s="5" t="s">
        <v>147</v>
      </c>
      <c r="D27" s="5" t="s">
        <v>70</v>
      </c>
      <c r="E27" s="5" t="s">
        <v>148</v>
      </c>
      <c r="F27" s="5" t="s">
        <v>174</v>
      </c>
      <c r="G27" s="5" t="s">
        <v>192</v>
      </c>
      <c r="H27" s="5" t="s">
        <v>200</v>
      </c>
      <c r="I27" s="5" t="s">
        <v>52</v>
      </c>
      <c r="J27" s="5" t="s">
        <v>205</v>
      </c>
      <c r="K27" s="5" t="s">
        <v>207</v>
      </c>
      <c r="L27" s="5" t="s">
        <v>214</v>
      </c>
      <c r="M27" s="15">
        <v>46218</v>
      </c>
      <c r="N27" s="15">
        <f t="shared" si="0"/>
        <v>46398</v>
      </c>
      <c r="O27" s="3">
        <v>90</v>
      </c>
      <c r="P27" s="3">
        <v>93</v>
      </c>
      <c r="Q27" s="3">
        <v>82</v>
      </c>
      <c r="R27" s="3">
        <v>91</v>
      </c>
      <c r="S27" s="3">
        <v>68</v>
      </c>
      <c r="T27" s="3">
        <f t="shared" si="1"/>
        <v>87</v>
      </c>
      <c r="U27" s="3" t="str" cm="1">
        <f t="array" ref="U27">_xlfn.IFS(T27&gt;=90,"Low",T27&gt;=75,"Moderate",T27&gt;=60,"Elevated",TRUE,"High")</f>
        <v>Moderate</v>
      </c>
      <c r="V27" s="3" t="str">
        <f t="shared" si="2"/>
        <v>Yes</v>
      </c>
      <c r="W27" s="14">
        <v>46568</v>
      </c>
      <c r="X27" s="3">
        <f>_xlfn.XLOOKUP(I27,'Lookup Tables'!$H$4:$H$7,'Lookup Tables'!$I$4:$I$7)</f>
        <v>180</v>
      </c>
      <c r="Y27" s="3" t="s">
        <v>243</v>
      </c>
      <c r="Z27" s="1" t="s">
        <v>249</v>
      </c>
    </row>
    <row r="28" spans="1:26" ht="57.6">
      <c r="A28" s="5" t="s">
        <v>149</v>
      </c>
      <c r="B28" s="5" t="s">
        <v>150</v>
      </c>
      <c r="C28" s="5" t="s">
        <v>64</v>
      </c>
      <c r="D28" s="5" t="s">
        <v>70</v>
      </c>
      <c r="E28" s="5" t="s">
        <v>151</v>
      </c>
      <c r="F28" s="5" t="s">
        <v>174</v>
      </c>
      <c r="G28" s="5" t="s">
        <v>192</v>
      </c>
      <c r="H28" s="5" t="s">
        <v>200</v>
      </c>
      <c r="I28" s="5" t="s">
        <v>96</v>
      </c>
      <c r="J28" s="5" t="s">
        <v>205</v>
      </c>
      <c r="K28" s="5" t="s">
        <v>207</v>
      </c>
      <c r="L28" s="5" t="s">
        <v>214</v>
      </c>
      <c r="M28" s="15">
        <v>46235</v>
      </c>
      <c r="N28" s="15">
        <f t="shared" si="0"/>
        <v>46600</v>
      </c>
      <c r="O28" s="3">
        <v>88</v>
      </c>
      <c r="P28" s="3">
        <v>91</v>
      </c>
      <c r="Q28" s="3">
        <v>82</v>
      </c>
      <c r="R28" s="3">
        <v>88</v>
      </c>
      <c r="S28" s="3">
        <v>70</v>
      </c>
      <c r="T28" s="3">
        <f t="shared" si="1"/>
        <v>86</v>
      </c>
      <c r="U28" s="3" t="str" cm="1">
        <f t="array" ref="U28">_xlfn.IFS(T28&gt;=90,"Low",T28&gt;=75,"Moderate",T28&gt;=60,"Elevated",TRUE,"High")</f>
        <v>Moderate</v>
      </c>
      <c r="V28" s="3" t="str">
        <f t="shared" si="2"/>
        <v>No</v>
      </c>
      <c r="W28" s="14">
        <v>46387</v>
      </c>
      <c r="X28" s="3">
        <f>_xlfn.XLOOKUP(I28,'Lookup Tables'!$H$4:$H$7,'Lookup Tables'!$I$4:$I$7)</f>
        <v>365</v>
      </c>
      <c r="Y28" s="3" t="s">
        <v>243</v>
      </c>
      <c r="Z28" s="1" t="s">
        <v>250</v>
      </c>
    </row>
    <row r="29" spans="1:26" ht="43.2">
      <c r="A29" s="5" t="s">
        <v>152</v>
      </c>
      <c r="B29" s="5" t="s">
        <v>153</v>
      </c>
      <c r="C29" s="5" t="s">
        <v>154</v>
      </c>
      <c r="D29" s="5" t="s">
        <v>155</v>
      </c>
      <c r="E29" s="5" t="s">
        <v>156</v>
      </c>
      <c r="F29" s="5" t="s">
        <v>167</v>
      </c>
      <c r="G29" s="5" t="s">
        <v>189</v>
      </c>
      <c r="H29" s="5" t="s">
        <v>195</v>
      </c>
      <c r="I29" s="5" t="s">
        <v>135</v>
      </c>
      <c r="J29" s="5" t="s">
        <v>205</v>
      </c>
      <c r="K29" s="5" t="s">
        <v>207</v>
      </c>
      <c r="L29" s="5" t="s">
        <v>211</v>
      </c>
      <c r="M29" s="15">
        <v>46249</v>
      </c>
      <c r="N29" s="15">
        <f t="shared" si="0"/>
        <v>46979</v>
      </c>
      <c r="O29" s="3">
        <v>84</v>
      </c>
      <c r="P29" s="3">
        <v>84</v>
      </c>
      <c r="Q29" s="3">
        <v>68</v>
      </c>
      <c r="R29" s="3">
        <v>78</v>
      </c>
      <c r="S29" s="3">
        <v>72</v>
      </c>
      <c r="T29" s="3">
        <f t="shared" si="1"/>
        <v>78</v>
      </c>
      <c r="U29" s="3" t="str" cm="1">
        <f t="array" ref="U29">_xlfn.IFS(T29&gt;=90,"Low",T29&gt;=75,"Moderate",T29&gt;=60,"Elevated",TRUE,"High")</f>
        <v>Moderate</v>
      </c>
      <c r="V29" s="3" t="str">
        <f t="shared" si="2"/>
        <v>No</v>
      </c>
      <c r="W29" s="14">
        <v>46203</v>
      </c>
      <c r="X29" s="3">
        <f>_xlfn.XLOOKUP(I29,'Lookup Tables'!$H$4:$H$7,'Lookup Tables'!$I$4:$I$7)</f>
        <v>730</v>
      </c>
      <c r="Y29" s="3" t="s">
        <v>243</v>
      </c>
      <c r="Z29" s="1" t="s">
        <v>251</v>
      </c>
    </row>
    <row r="30" spans="1:26" ht="43.2">
      <c r="A30" s="5" t="s">
        <v>157</v>
      </c>
      <c r="B30" s="5" t="s">
        <v>158</v>
      </c>
      <c r="C30" s="5" t="s">
        <v>154</v>
      </c>
      <c r="D30" s="5" t="s">
        <v>159</v>
      </c>
      <c r="E30" s="5" t="s">
        <v>160</v>
      </c>
      <c r="F30" s="5" t="s">
        <v>183</v>
      </c>
      <c r="G30" s="5" t="s">
        <v>189</v>
      </c>
      <c r="H30" s="5" t="s">
        <v>195</v>
      </c>
      <c r="I30" s="5" t="s">
        <v>135</v>
      </c>
      <c r="J30" s="5" t="s">
        <v>205</v>
      </c>
      <c r="K30" s="5" t="s">
        <v>207</v>
      </c>
      <c r="L30" s="5" t="s">
        <v>211</v>
      </c>
      <c r="M30" s="15">
        <v>46249</v>
      </c>
      <c r="N30" s="15">
        <f t="shared" si="0"/>
        <v>46979</v>
      </c>
      <c r="O30" s="3">
        <v>82</v>
      </c>
      <c r="P30" s="3">
        <v>81</v>
      </c>
      <c r="Q30" s="3">
        <v>64</v>
      </c>
      <c r="R30" s="3">
        <v>75</v>
      </c>
      <c r="S30" s="3">
        <v>71</v>
      </c>
      <c r="T30" s="3">
        <f t="shared" si="1"/>
        <v>76</v>
      </c>
      <c r="U30" s="3" t="str" cm="1">
        <f t="array" ref="U30">_xlfn.IFS(T30&gt;=90,"Low",T30&gt;=75,"Moderate",T30&gt;=60,"Elevated",TRUE,"High")</f>
        <v>Moderate</v>
      </c>
      <c r="V30" s="3" t="str">
        <f t="shared" si="2"/>
        <v>No</v>
      </c>
      <c r="W30" s="14">
        <v>46203</v>
      </c>
      <c r="X30" s="3">
        <f>_xlfn.XLOOKUP(I30,'Lookup Tables'!$H$4:$H$7,'Lookup Tables'!$I$4:$I$7)</f>
        <v>730</v>
      </c>
      <c r="Y30" s="3" t="s">
        <v>243</v>
      </c>
      <c r="Z30" s="1" t="s">
        <v>251</v>
      </c>
    </row>
    <row r="31" spans="1:26" ht="43.2">
      <c r="A31" s="5" t="s">
        <v>161</v>
      </c>
      <c r="B31" s="5" t="s">
        <v>162</v>
      </c>
      <c r="C31" s="5" t="s">
        <v>163</v>
      </c>
      <c r="D31" s="5" t="s">
        <v>164</v>
      </c>
      <c r="E31" s="5" t="s">
        <v>165</v>
      </c>
      <c r="F31" s="5" t="s">
        <v>184</v>
      </c>
      <c r="G31" s="5" t="s">
        <v>189</v>
      </c>
      <c r="H31" s="5" t="s">
        <v>201</v>
      </c>
      <c r="I31" s="5" t="s">
        <v>135</v>
      </c>
      <c r="J31" s="5" t="s">
        <v>206</v>
      </c>
      <c r="K31" s="5" t="s">
        <v>207</v>
      </c>
      <c r="L31" s="5" t="s">
        <v>213</v>
      </c>
      <c r="M31" s="15">
        <v>46249</v>
      </c>
      <c r="N31" s="15">
        <f t="shared" si="0"/>
        <v>46979</v>
      </c>
      <c r="O31" s="3">
        <v>80</v>
      </c>
      <c r="P31" s="3">
        <v>80</v>
      </c>
      <c r="Q31" s="3">
        <v>60</v>
      </c>
      <c r="R31" s="3">
        <v>74</v>
      </c>
      <c r="S31" s="3">
        <v>70</v>
      </c>
      <c r="T31" s="3">
        <f t="shared" si="1"/>
        <v>74</v>
      </c>
      <c r="U31" s="3" t="str" cm="1">
        <f t="array" ref="U31">_xlfn.IFS(T31&gt;=90,"Low",T31&gt;=75,"Moderate",T31&gt;=60,"Elevated",TRUE,"High")</f>
        <v>Elevated</v>
      </c>
      <c r="V31" s="3" t="str">
        <f t="shared" si="2"/>
        <v>No</v>
      </c>
      <c r="W31" s="14">
        <v>46203</v>
      </c>
      <c r="X31" s="3">
        <f>_xlfn.XLOOKUP(I31,'Lookup Tables'!$H$4:$H$7,'Lookup Tables'!$I$4:$I$7)</f>
        <v>730</v>
      </c>
      <c r="Y31" s="3" t="s">
        <v>243</v>
      </c>
      <c r="Z31" s="1" t="s">
        <v>251</v>
      </c>
    </row>
    <row r="32" spans="1:26">
      <c r="J32" s="5"/>
      <c r="K32" s="5"/>
      <c r="N32" s="11"/>
    </row>
  </sheetData>
  <conditionalFormatting sqref="T2:T31">
    <cfRule type="cellIs" dxfId="10" priority="1" operator="lessThan">
      <formula>60</formula>
    </cfRule>
    <cfRule type="cellIs" dxfId="9" priority="2" operator="between">
      <formula>60</formula>
      <formula>74</formula>
    </cfRule>
    <cfRule type="cellIs" dxfId="8" priority="3" operator="between">
      <formula>75</formula>
      <formula>89</formula>
    </cfRule>
    <cfRule type="cellIs" dxfId="7" priority="4" operator="greaterThanOrEqual">
      <formula>90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4C2C-8F17-4878-BD15-207F1DF5AAD8}">
  <dimension ref="B3:F9"/>
  <sheetViews>
    <sheetView workbookViewId="0">
      <selection activeCell="A2" sqref="A2"/>
    </sheetView>
  </sheetViews>
  <sheetFormatPr defaultRowHeight="14.4"/>
  <cols>
    <col min="2" max="2" width="14.77734375" customWidth="1"/>
    <col min="3" max="3" width="9.77734375" customWidth="1"/>
    <col min="5" max="5" width="10.44140625" customWidth="1"/>
    <col min="6" max="6" width="26.109375" customWidth="1"/>
  </cols>
  <sheetData>
    <row r="3" spans="2:6">
      <c r="B3" s="4" t="s">
        <v>223</v>
      </c>
      <c r="C3" s="4" t="s">
        <v>224</v>
      </c>
      <c r="E3" s="4" t="s">
        <v>229</v>
      </c>
      <c r="F3" s="4" t="s">
        <v>230</v>
      </c>
    </row>
    <row r="4" spans="2:6" ht="28.8">
      <c r="B4" s="3" t="s">
        <v>225</v>
      </c>
      <c r="C4" s="9">
        <v>0.25</v>
      </c>
      <c r="E4" s="3" t="s">
        <v>231</v>
      </c>
      <c r="F4" s="8" t="s">
        <v>232</v>
      </c>
    </row>
    <row r="5" spans="2:6">
      <c r="B5" s="3" t="s">
        <v>226</v>
      </c>
      <c r="C5" s="9">
        <v>0.25</v>
      </c>
      <c r="E5" s="3" t="s">
        <v>233</v>
      </c>
      <c r="F5" s="8" t="s">
        <v>234</v>
      </c>
    </row>
    <row r="6" spans="2:6" ht="28.8">
      <c r="B6" s="3" t="s">
        <v>227</v>
      </c>
      <c r="C6" s="9">
        <v>0.2</v>
      </c>
      <c r="E6" s="3" t="s">
        <v>235</v>
      </c>
      <c r="F6" s="8" t="s">
        <v>236</v>
      </c>
    </row>
    <row r="7" spans="2:6" ht="28.8">
      <c r="B7" s="3" t="s">
        <v>21</v>
      </c>
      <c r="C7" s="9">
        <v>0.2</v>
      </c>
      <c r="E7" s="3" t="s">
        <v>237</v>
      </c>
      <c r="F7" s="8" t="s">
        <v>238</v>
      </c>
    </row>
    <row r="8" spans="2:6" ht="28.8">
      <c r="B8" s="3" t="s">
        <v>228</v>
      </c>
      <c r="C8" s="9">
        <v>0.1</v>
      </c>
      <c r="E8" s="3" t="s">
        <v>239</v>
      </c>
      <c r="F8" s="8" t="s">
        <v>240</v>
      </c>
    </row>
    <row r="9" spans="2:6" ht="28.8">
      <c r="E9" s="3" t="s">
        <v>241</v>
      </c>
      <c r="F9" s="8" t="s">
        <v>242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4D58-B18C-4300-BD4A-4587C9BA3C93}">
  <dimension ref="B3:I7"/>
  <sheetViews>
    <sheetView workbookViewId="0">
      <selection activeCell="A2" sqref="A2"/>
    </sheetView>
  </sheetViews>
  <sheetFormatPr defaultRowHeight="14.4"/>
  <cols>
    <col min="2" max="2" width="17" customWidth="1"/>
    <col min="3" max="3" width="9.77734375" customWidth="1"/>
    <col min="5" max="5" width="12.6640625" customWidth="1"/>
    <col min="6" max="6" width="21.5546875" customWidth="1"/>
    <col min="8" max="8" width="12.6640625" customWidth="1"/>
    <col min="9" max="9" width="15.6640625" customWidth="1"/>
  </cols>
  <sheetData>
    <row r="3" spans="2:9" ht="28.8">
      <c r="B3" s="7" t="s">
        <v>19</v>
      </c>
      <c r="C3" s="4" t="s">
        <v>20</v>
      </c>
      <c r="E3" s="4" t="s">
        <v>8</v>
      </c>
      <c r="F3" s="4" t="s">
        <v>217</v>
      </c>
      <c r="H3" s="4" t="s">
        <v>8</v>
      </c>
      <c r="I3" s="7" t="s">
        <v>222</v>
      </c>
    </row>
    <row r="4" spans="2:9">
      <c r="B4" s="6">
        <v>90</v>
      </c>
      <c r="C4" s="5" t="s">
        <v>135</v>
      </c>
      <c r="E4" s="5" t="s">
        <v>31</v>
      </c>
      <c r="F4" s="5" t="s">
        <v>218</v>
      </c>
      <c r="H4" s="5" t="s">
        <v>31</v>
      </c>
      <c r="I4" s="6">
        <v>90</v>
      </c>
    </row>
    <row r="5" spans="2:9" ht="28.8">
      <c r="B5" s="6">
        <v>75</v>
      </c>
      <c r="C5" s="5" t="s">
        <v>215</v>
      </c>
      <c r="E5" s="5" t="s">
        <v>52</v>
      </c>
      <c r="F5" s="5" t="s">
        <v>219</v>
      </c>
      <c r="H5" s="5" t="s">
        <v>52</v>
      </c>
      <c r="I5" s="6">
        <v>180</v>
      </c>
    </row>
    <row r="6" spans="2:9">
      <c r="B6" s="6">
        <v>60</v>
      </c>
      <c r="C6" s="5" t="s">
        <v>216</v>
      </c>
      <c r="E6" s="5" t="s">
        <v>96</v>
      </c>
      <c r="F6" s="5" t="s">
        <v>220</v>
      </c>
      <c r="H6" s="5" t="s">
        <v>96</v>
      </c>
      <c r="I6" s="6">
        <v>365</v>
      </c>
    </row>
    <row r="7" spans="2:9">
      <c r="B7" s="6">
        <v>0</v>
      </c>
      <c r="C7" s="5" t="s">
        <v>52</v>
      </c>
      <c r="E7" s="5" t="s">
        <v>135</v>
      </c>
      <c r="F7" s="5" t="s">
        <v>221</v>
      </c>
      <c r="H7" s="5" t="s">
        <v>135</v>
      </c>
      <c r="I7" s="6">
        <v>730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698C-AAC1-4D62-891E-E371053EE9D0}">
  <dimension ref="A1:G48"/>
  <sheetViews>
    <sheetView showGridLines="0" zoomScale="70" zoomScaleNormal="70" workbookViewId="0">
      <selection sqref="A1:E1"/>
    </sheetView>
  </sheetViews>
  <sheetFormatPr defaultRowHeight="14.4"/>
  <cols>
    <col min="1" max="1" width="32.109375" customWidth="1"/>
    <col min="2" max="2" width="20.44140625" customWidth="1"/>
    <col min="4" max="4" width="19.44140625" customWidth="1"/>
    <col min="5" max="5" width="17" customWidth="1"/>
    <col min="9" max="9" width="5.109375" customWidth="1"/>
    <col min="10" max="10" width="7" customWidth="1"/>
    <col min="11" max="11" width="6.44140625" customWidth="1"/>
  </cols>
  <sheetData>
    <row r="1" spans="1:7" ht="102.6" customHeight="1">
      <c r="A1" s="20" t="s">
        <v>266</v>
      </c>
      <c r="B1" s="20"/>
      <c r="C1" s="20"/>
      <c r="D1" s="20"/>
      <c r="E1" s="20"/>
    </row>
    <row r="2" spans="1:7">
      <c r="D2" s="4" t="s">
        <v>262</v>
      </c>
      <c r="E2" s="7" t="s">
        <v>263</v>
      </c>
    </row>
    <row r="3" spans="1:7">
      <c r="D3" s="5" t="s">
        <v>31</v>
      </c>
      <c r="E3" s="17">
        <f>COUNTIF('Vendor Inventory'!I2:I31,"Critical")</f>
        <v>5</v>
      </c>
      <c r="G3" s="19"/>
    </row>
    <row r="4" spans="1:7">
      <c r="A4" s="4" t="s">
        <v>252</v>
      </c>
      <c r="B4" s="4" t="s">
        <v>253</v>
      </c>
      <c r="D4" s="5" t="s">
        <v>52</v>
      </c>
      <c r="E4" s="17">
        <f>COUNTIF('Vendor Inventory'!I2:I31,"High")</f>
        <v>11</v>
      </c>
    </row>
    <row r="5" spans="1:7">
      <c r="A5" s="5" t="s">
        <v>254</v>
      </c>
      <c r="B5" s="21">
        <f>COUNTA('Vendor Inventory'!B2:B31)</f>
        <v>30</v>
      </c>
      <c r="D5" s="5" t="s">
        <v>96</v>
      </c>
      <c r="E5" s="17">
        <f>COUNTIF('Vendor Inventory'!I2:I31,"Medium")</f>
        <v>10</v>
      </c>
    </row>
    <row r="6" spans="1:7">
      <c r="A6" s="5" t="s">
        <v>255</v>
      </c>
      <c r="B6" s="21">
        <f>COUNTIF('Vendor Inventory'!I2:I31,"Critical")</f>
        <v>5</v>
      </c>
      <c r="D6" s="5" t="s">
        <v>135</v>
      </c>
      <c r="E6" s="17">
        <f>COUNTIF('Vendor Inventory'!I2:I31,"Low")</f>
        <v>4</v>
      </c>
    </row>
    <row r="7" spans="1:7">
      <c r="A7" s="5" t="s">
        <v>256</v>
      </c>
      <c r="B7" s="21">
        <f>COUNTIF('Vendor Inventory'!I2:I31,"High")</f>
        <v>11</v>
      </c>
    </row>
    <row r="8" spans="1:7">
      <c r="A8" s="5" t="s">
        <v>257</v>
      </c>
      <c r="B8" s="21">
        <f>COUNTIF('Vendor Inventory'!I2:I31,"Medium")</f>
        <v>10</v>
      </c>
      <c r="D8" s="4" t="s">
        <v>264</v>
      </c>
      <c r="E8" s="7" t="s">
        <v>263</v>
      </c>
    </row>
    <row r="9" spans="1:7">
      <c r="A9" s="5" t="s">
        <v>258</v>
      </c>
      <c r="B9" s="21">
        <f>COUNTIF('Vendor Inventory'!I2:I31,"Low")</f>
        <v>4</v>
      </c>
      <c r="D9" s="5" t="s">
        <v>28</v>
      </c>
      <c r="E9" s="17">
        <f>COUNTIF('Vendor Inventory'!C2:C31,"Cloud &amp; Productivity")</f>
        <v>1</v>
      </c>
    </row>
    <row r="10" spans="1:7">
      <c r="A10" s="5" t="s">
        <v>259</v>
      </c>
      <c r="B10" s="21">
        <f>ROUND(AVERAGE('Vendor Inventory'!T2:T31),0)</f>
        <v>85</v>
      </c>
      <c r="D10" s="5" t="s">
        <v>34</v>
      </c>
      <c r="E10" s="17">
        <f>COUNTIF('Vendor Inventory'!C2:C31,"ERP")</f>
        <v>1</v>
      </c>
    </row>
    <row r="11" spans="1:7" ht="28.8">
      <c r="A11" s="5" t="s">
        <v>260</v>
      </c>
      <c r="B11" s="21">
        <f>COUNTIF('Vendor Inventory'!V2:V31,"Yes")</f>
        <v>16</v>
      </c>
      <c r="D11" s="5" t="s">
        <v>39</v>
      </c>
      <c r="E11" s="17">
        <f>COUNTIF('Vendor Inventory'!C2:C31,"Data Platform")</f>
        <v>1</v>
      </c>
    </row>
    <row r="12" spans="1:7" ht="28.8">
      <c r="A12" s="5" t="s">
        <v>261</v>
      </c>
      <c r="B12" s="21">
        <f>ROUND(AVERAGE('Vendor Inventory'!X2:X31),0)</f>
        <v>300</v>
      </c>
      <c r="D12" s="5" t="s">
        <v>99</v>
      </c>
      <c r="E12" s="17">
        <f>COUNTIF('Vendor Inventory'!C2:C31,"AI Platform")</f>
        <v>1</v>
      </c>
    </row>
    <row r="13" spans="1:7">
      <c r="D13" s="5" t="s">
        <v>70</v>
      </c>
      <c r="E13" s="18">
        <v>5</v>
      </c>
    </row>
    <row r="14" spans="1:7">
      <c r="D14" s="5" t="s">
        <v>81</v>
      </c>
      <c r="E14" s="18">
        <v>5</v>
      </c>
    </row>
    <row r="15" spans="1:7">
      <c r="D15" s="5" t="s">
        <v>265</v>
      </c>
      <c r="E15" s="18">
        <v>10</v>
      </c>
    </row>
    <row r="18" spans="4:5">
      <c r="D18" s="4" t="s">
        <v>166</v>
      </c>
      <c r="E18" s="7" t="s">
        <v>19</v>
      </c>
    </row>
    <row r="19" spans="4:5" hidden="1">
      <c r="D19" t="s">
        <v>162</v>
      </c>
      <c r="E19" s="17">
        <f>'Vendor Inventory'!T31</f>
        <v>74</v>
      </c>
    </row>
    <row r="20" spans="4:5" hidden="1">
      <c r="D20" t="s">
        <v>158</v>
      </c>
      <c r="E20" s="17">
        <f>'Vendor Inventory'!T30</f>
        <v>76</v>
      </c>
    </row>
    <row r="21" spans="4:5" hidden="1">
      <c r="D21" t="s">
        <v>131</v>
      </c>
      <c r="E21" s="17">
        <f>'Vendor Inventory'!T24</f>
        <v>77</v>
      </c>
    </row>
    <row r="22" spans="4:5" hidden="1">
      <c r="D22" t="s">
        <v>153</v>
      </c>
      <c r="E22" s="17">
        <f>'Vendor Inventory'!T29</f>
        <v>78</v>
      </c>
    </row>
    <row r="23" spans="4:5" hidden="1">
      <c r="D23" t="s">
        <v>93</v>
      </c>
      <c r="E23" s="17">
        <f>'Vendor Inventory'!T16</f>
        <v>82</v>
      </c>
    </row>
    <row r="24" spans="4:5" hidden="1">
      <c r="D24" s="5" t="s">
        <v>43</v>
      </c>
      <c r="E24" s="17">
        <f>'Vendor Inventory'!T5</f>
        <v>83</v>
      </c>
    </row>
    <row r="25" spans="4:5" hidden="1">
      <c r="D25" t="s">
        <v>107</v>
      </c>
      <c r="E25" s="17">
        <f>'Vendor Inventory'!T19</f>
        <v>83</v>
      </c>
    </row>
    <row r="26" spans="4:5" hidden="1">
      <c r="D26" t="s">
        <v>121</v>
      </c>
      <c r="E26" s="17">
        <f>'Vendor Inventory'!T22</f>
        <v>83</v>
      </c>
    </row>
    <row r="27" spans="4:5" hidden="1">
      <c r="D27" t="s">
        <v>137</v>
      </c>
      <c r="E27" s="17">
        <f>'Vendor Inventory'!T25</f>
        <v>83</v>
      </c>
    </row>
    <row r="28" spans="4:5" hidden="1">
      <c r="D28" t="s">
        <v>89</v>
      </c>
      <c r="E28" s="17">
        <f>'Vendor Inventory'!T15</f>
        <v>84</v>
      </c>
    </row>
    <row r="29" spans="4:5" hidden="1">
      <c r="D29" t="s">
        <v>112</v>
      </c>
      <c r="E29" s="17">
        <f>'Vendor Inventory'!T20</f>
        <v>84</v>
      </c>
    </row>
    <row r="30" spans="4:5" hidden="1">
      <c r="D30" t="s">
        <v>126</v>
      </c>
      <c r="E30" s="17">
        <f>'Vendor Inventory'!T23</f>
        <v>84</v>
      </c>
    </row>
    <row r="31" spans="4:5" hidden="1">
      <c r="D31" t="s">
        <v>85</v>
      </c>
      <c r="E31" s="17">
        <f>'Vendor Inventory'!T14</f>
        <v>85</v>
      </c>
    </row>
    <row r="32" spans="4:5" hidden="1">
      <c r="D32" t="s">
        <v>103</v>
      </c>
      <c r="E32" s="17">
        <f>'Vendor Inventory'!T18</f>
        <v>85</v>
      </c>
    </row>
    <row r="33" spans="4:5" hidden="1">
      <c r="D33" t="s">
        <v>58</v>
      </c>
      <c r="E33" s="17">
        <f>'Vendor Inventory'!T8</f>
        <v>86</v>
      </c>
    </row>
    <row r="34" spans="4:5" hidden="1">
      <c r="D34" t="s">
        <v>80</v>
      </c>
      <c r="E34" s="17">
        <f>'Vendor Inventory'!T13</f>
        <v>86</v>
      </c>
    </row>
    <row r="35" spans="4:5" hidden="1">
      <c r="D35" t="s">
        <v>150</v>
      </c>
      <c r="E35" s="17">
        <f>'Vendor Inventory'!T28</f>
        <v>86</v>
      </c>
    </row>
    <row r="36" spans="4:5">
      <c r="D36" t="s">
        <v>63</v>
      </c>
      <c r="E36" s="17">
        <f>'Vendor Inventory'!T9</f>
        <v>87</v>
      </c>
    </row>
    <row r="37" spans="4:5">
      <c r="D37" t="s">
        <v>98</v>
      </c>
      <c r="E37" s="17">
        <f>'Vendor Inventory'!T17</f>
        <v>87</v>
      </c>
    </row>
    <row r="38" spans="4:5">
      <c r="D38" t="s">
        <v>116</v>
      </c>
      <c r="E38" s="17">
        <f>'Vendor Inventory'!T21</f>
        <v>87</v>
      </c>
    </row>
    <row r="39" spans="4:5">
      <c r="D39" t="s">
        <v>142</v>
      </c>
      <c r="E39" s="17">
        <f>'Vendor Inventory'!T26</f>
        <v>87</v>
      </c>
    </row>
    <row r="40" spans="4:5">
      <c r="D40" t="s">
        <v>146</v>
      </c>
      <c r="E40" s="17">
        <f>'Vendor Inventory'!T27</f>
        <v>87</v>
      </c>
    </row>
    <row r="41" spans="4:5">
      <c r="D41" t="s">
        <v>48</v>
      </c>
      <c r="E41" s="17">
        <f>'Vendor Inventory'!T6</f>
        <v>88</v>
      </c>
    </row>
    <row r="42" spans="4:5">
      <c r="D42" t="s">
        <v>54</v>
      </c>
      <c r="E42" s="17">
        <f>'Vendor Inventory'!T7</f>
        <v>88</v>
      </c>
    </row>
    <row r="43" spans="4:5">
      <c r="D43" t="s">
        <v>73</v>
      </c>
      <c r="E43" s="17">
        <f>'Vendor Inventory'!T11</f>
        <v>88</v>
      </c>
    </row>
    <row r="44" spans="4:5">
      <c r="D44" t="s">
        <v>76</v>
      </c>
      <c r="E44" s="17">
        <f>'Vendor Inventory'!T12</f>
        <v>88</v>
      </c>
    </row>
    <row r="45" spans="4:5">
      <c r="D45" s="5" t="s">
        <v>38</v>
      </c>
      <c r="E45" s="17">
        <f>'Vendor Inventory'!T4</f>
        <v>89</v>
      </c>
    </row>
    <row r="46" spans="4:5">
      <c r="D46" t="s">
        <v>68</v>
      </c>
      <c r="E46" s="17">
        <f>'Vendor Inventory'!T10</f>
        <v>89</v>
      </c>
    </row>
    <row r="47" spans="4:5">
      <c r="D47" s="5" t="s">
        <v>33</v>
      </c>
      <c r="E47" s="17">
        <f>'Vendor Inventory'!T3</f>
        <v>91</v>
      </c>
    </row>
    <row r="48" spans="4:5">
      <c r="D48" s="5" t="s">
        <v>27</v>
      </c>
      <c r="E48" s="17">
        <f>'Vendor Inventory'!T2</f>
        <v>93</v>
      </c>
    </row>
  </sheetData>
  <mergeCells count="1">
    <mergeCell ref="A1:E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Inventory</vt:lpstr>
      <vt:lpstr>Scoring Matrix</vt:lpstr>
      <vt:lpstr>Lookup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Samyak Jain</dc:creator>
  <cp:lastModifiedBy>Samyak Jain</cp:lastModifiedBy>
  <dcterms:created xsi:type="dcterms:W3CDTF">2026-07-22T12:23:39Z</dcterms:created>
  <dcterms:modified xsi:type="dcterms:W3CDTF">2026-07-23T13:52:59Z</dcterms:modified>
</cp:coreProperties>
</file>